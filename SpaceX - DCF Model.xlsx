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Assumptions" sheetId="2" r:id="rId6"/>
    <sheet state="visible" name="Input" sheetId="3" r:id="rId7"/>
    <sheet state="visible" name="IS Forecast" sheetId="4" r:id="rId8"/>
    <sheet state="visible" name="BS &amp; CF Forecast" sheetId="5" r:id="rId9"/>
    <sheet state="visible" name="DCF" sheetId="6" r:id="rId10"/>
    <sheet state="visible" name="Dashboard" sheetId="7" r:id="rId11"/>
    <sheet state="visible" name="One Page Analysis" sheetId="8" r:id="rId12"/>
  </sheets>
  <definedNames/>
  <calcPr/>
</workbook>
</file>

<file path=xl/sharedStrings.xml><?xml version="1.0" encoding="utf-8"?>
<sst xmlns="http://schemas.openxmlformats.org/spreadsheetml/2006/main" count="763" uniqueCount="495">
  <si>
    <t>Space Exploration Technologies Corp. (SPCX)</t>
  </si>
  <si>
    <t>Discounted Cash Flow Valuation Model</t>
  </si>
  <si>
    <t xml:space="preserve">Based on S-1/A Amendment No. 2 (SEC filing, 2026-06-03) </t>
  </si>
  <si>
    <t>Item</t>
  </si>
  <si>
    <t>Details</t>
  </si>
  <si>
    <t>Ticker / Exchange</t>
  </si>
  <si>
    <t>SPCX / Nasdaq</t>
  </si>
  <si>
    <t>Currency / Units</t>
  </si>
  <si>
    <t>USD, $ millions</t>
  </si>
  <si>
    <t>Fiscal year end</t>
  </si>
  <si>
    <t>December 31</t>
  </si>
  <si>
    <t>Valuation date</t>
  </si>
  <si>
    <t>June 19, 2026</t>
  </si>
  <si>
    <t>Current share price</t>
  </si>
  <si>
    <t>$157.54 (Nasdaq close July 1st, 2026)</t>
  </si>
  <si>
    <t>IPO date / price</t>
  </si>
  <si>
    <t>June 12, 2026 / $135.00 per share</t>
  </si>
  <si>
    <t>Source filing</t>
  </si>
  <si>
    <t>SEC Form S-1/A Amendment No. 2 (CIK 0001181412, Accession 0001628280-26-040364)</t>
  </si>
  <si>
    <t>Diluted shares (M)</t>
  </si>
  <si>
    <t>13,075.9 (Class A 7,380.2 + Class B 5,695.7, post-IPO)</t>
  </si>
  <si>
    <t>Segments</t>
  </si>
  <si>
    <t>Space (launch services) · Connectivity (Starlink broadband) · AI (xAI / compute)</t>
  </si>
  <si>
    <t>Color Legend</t>
  </si>
  <si>
    <t>Blue font</t>
  </si>
  <si>
    <t>Hardcoded number sourced directly from the S-1/A SEC filing.</t>
  </si>
  <si>
    <t>Orange font</t>
  </si>
  <si>
    <t>Analyst assumption: toggle Bear/Base/Bull in the Assumptions sheet (cell B4).</t>
  </si>
  <si>
    <t>Black font</t>
  </si>
  <si>
    <t>Formula calculated within the same sheet.</t>
  </si>
  <si>
    <t>SPCX: Model Assumptions</t>
  </si>
  <si>
    <t>Change cell B4 (Scenario toggle) to switch all assumptions simultaneously: 1 = Bear  |  2 = Base  |  3 = Bull</t>
  </si>
  <si>
    <t>Scenario (1 = Bear, 2 = Base, 3 = Bull)</t>
  </si>
  <si>
    <t>(Change Number to toggle between different scenario)</t>
  </si>
  <si>
    <t>Assumption</t>
  </si>
  <si>
    <t>Bear</t>
  </si>
  <si>
    <t>Base</t>
  </si>
  <si>
    <t>Bull</t>
  </si>
  <si>
    <t>Active</t>
  </si>
  <si>
    <t>Rationale &amp; Source</t>
  </si>
  <si>
    <t>1 ·  Revenue Assumptions: Segment YoY Growth Rates (linear interpolation FY+1 to FY+5)</t>
  </si>
  <si>
    <t>Space: revenue growth, FY+1</t>
  </si>
  <si>
    <t>FY25A revenue grew 7.6% YoY. Bear assumes Starship delays limit new commercial launches, Base assumes a gradual commercial ramp from H2 2026, and Bull assumes stronger demand supported by Starlink V3 missions and higher payload capacity.</t>
  </si>
  <si>
    <t>Space: revenue growth, FY+5</t>
  </si>
  <si>
    <t>Growth improves as Starship reusability lowers launch costs and supports a higher launch cadence. Bear assumes slower adoption, while Bull assumes SpaceX becomes the dominant commercial launch provider.</t>
  </si>
  <si>
    <t>Connectivity: revenue growth, FY+1</t>
  </si>
  <si>
    <t>FY25A revenue grew 49.8% YoY with approximately 10.3 million subscribers. Base assumes subscriber growth gradually slows as penetration increases, while Bear reflects competitive and regulatory pressures.</t>
  </si>
  <si>
    <t>Connectivity: revenue growth, FY+5</t>
  </si>
  <si>
    <t>Growth moderates as the LEO broadband market matures. Base assumes approximately 18–20 million subscribers by FY2030.</t>
  </si>
  <si>
    <t>AI: revenue growth, FY+1</t>
  </si>
  <si>
    <t>FY25A AI revenue was approximately $3.2B. Base assumes continued enterprise AI demand, Bull reflects rapid scaling of large compute contracts, and Bear assumes slower customer adoption and execution delays.</t>
  </si>
  <si>
    <t>AI: revenue growth, FY+5</t>
  </si>
  <si>
    <t>Growth slows as the business matures but remains above traditional cloud providers. Bull assumes sustained enterprise AI demand, while Bear assumes weaker contract renewals and slower monetisation.</t>
  </si>
  <si>
    <t>2 ·  Margin Assumptions: Segment Adj. EBITDA Margin (linear interpolation FY+1 to FY+5)</t>
  </si>
  <si>
    <t>Space: EBITDA margin, FY+1</t>
  </si>
  <si>
    <t>Margins improve as Starship development costs decline and launch operations become more efficient through greater reusability.</t>
  </si>
  <si>
    <t>Space: EBITDA margin, FY+5</t>
  </si>
  <si>
    <t>Connectivity: EBITDA margin, FY+1</t>
  </si>
  <si>
    <t>Margins benefit from operating leverage as the subscriber base grows and higher-value service tiers are introduced.</t>
  </si>
  <si>
    <t>Connectivity: EBITDA margin, FY+5</t>
  </si>
  <si>
    <t>AI: EBITDA margin, FY+1</t>
  </si>
  <si>
    <t>Margins improve over time as GPU utilisation rises, inference costs decline, and enterprise AI contracts scale.</t>
  </si>
  <si>
    <t>AI: EBITDA margin, FY+5</t>
  </si>
  <si>
    <t>3 ·  Capex Assumptions: Segment % of Segment Revenue (linear interpolation FY+1 to FY+5)</t>
  </si>
  <si>
    <t>Space: capex % of revenue, FY+1</t>
  </si>
  <si>
    <t>High initial investment supports Starship production and launch infrastructure before gradually normalising as reusable systems mature.</t>
  </si>
  <si>
    <t>Space: capex % of revenue, FY+5</t>
  </si>
  <si>
    <t>Connectivity: capex % of revenue, FY+1</t>
  </si>
  <si>
    <t>Investment remains elevated during Starlink V3 deployment before declining as the constellation matures.</t>
  </si>
  <si>
    <t>Connectivity: capex % of revenue, FY+5</t>
  </si>
  <si>
    <t>AI: capex % of revenue, FY+1</t>
  </si>
  <si>
    <t>Near-term CapEx is intentionally high to support AI infrastructure build-out before normalising as utilisation improves.</t>
  </si>
  <si>
    <t>AI: capex % of revenue, FY+5</t>
  </si>
  <si>
    <t>4 ·  PP&amp;E Useful Lives: D&amp;A Derived from PP&amp;E Roll (not % of revenue)</t>
  </si>
  <si>
    <t>Space: average useful life (years)</t>
  </si>
  <si>
    <t>Bear assumes faster wear from intensive operations, Base reflects current expectations, and Bull assumes better maintenance and refurbishment extend asset lives.</t>
  </si>
  <si>
    <t>Connectivity: average useful life (years)</t>
  </si>
  <si>
    <t>Bull assumes newer satellite generations remain operational for longer, while Bear assumes faster replacement cycles. S-1/A's own disclosed 3–5yr satellite range but here Bull assumes newer satellite might exceed that range.</t>
  </si>
  <si>
    <t>AI: average useful life (years)</t>
  </si>
  <si>
    <t>Bull intentionally assumes shorter economic lives because faster GPU refresh cycles increase technological obsolescence despite higher investment.</t>
  </si>
  <si>
    <t>5 ·  Operating Assumptions: SBC, Working Capital, Tax, Bonus Depreciation</t>
  </si>
  <si>
    <t>SBC % of revenue (flat)</t>
  </si>
  <si>
    <t>Modelled as a constant percentage of revenue using comparable technology companies due to limited disclosure.</t>
  </si>
  <si>
    <t>Non-GAAP EBITDA haircut %</t>
  </si>
  <si>
    <t>Applies a conservative adjustment for recurring items excluded from Adjusted EBITDA.</t>
  </si>
  <si>
    <t>DSO (days, applied to revenue)</t>
  </si>
  <si>
    <t>Based on a blended mix of consumer, enterprise, and government customers.</t>
  </si>
  <si>
    <t>DIO (days, applied to revenue)</t>
  </si>
  <si>
    <t>Assumes inventory efficiency improves as production scales.</t>
  </si>
  <si>
    <t>DPO (days, applied to revenue)</t>
  </si>
  <si>
    <t>Assumes supplier payment terms improve as purchasing power increases.</t>
  </si>
  <si>
    <t>Tax rate (flat)</t>
  </si>
  <si>
    <t>Uses the U.S. federal statutory corporate tax rate. Potential tax credits are excluded for conservatism.</t>
  </si>
  <si>
    <t>Bonus depreciation % of capex (OBBBA)</t>
  </si>
  <si>
    <t>Assumes qualifying CapEx benefits from first-year bonus depreciation under current U.S. tax legislation.</t>
  </si>
  <si>
    <t>Other current assets, % of revenue</t>
  </si>
  <si>
    <t>Proxy for non-AR/inventory current assets. Not separately disclosed in S-1/A summary tables.</t>
  </si>
  <si>
    <t>Other current liabilities, % of revenue</t>
  </si>
  <si>
    <t>Proxy for non-AP current liabilities (deferred revenue, accrued expenses). Not separately disclosed.</t>
  </si>
  <si>
    <t>6 ·  Interest, Debt &amp; Cash</t>
  </si>
  <si>
    <t>Interest income rate on cash</t>
  </si>
  <si>
    <t>Applied to the average cash balance using prevailing short-term interest rates.</t>
  </si>
  <si>
    <t>Annual debt repayment % of balance</t>
  </si>
  <si>
    <t>Assumes gradual repayment of outstanding borrowings.</t>
  </si>
  <si>
    <t>Pre-tax cost of debt</t>
  </si>
  <si>
    <t>Estimated using comparable technology and aerospace borrowers.</t>
  </si>
  <si>
    <t>7 ·  WACC &amp; Capital Structure</t>
  </si>
  <si>
    <t>Size premium</t>
  </si>
  <si>
    <t>Near-zero given mega-cap status. Bear adds small execution-risk premium.</t>
  </si>
  <si>
    <t>Risk-free rate (10-yr UST yield)</t>
  </si>
  <si>
    <t>Based on the prevailing 10-year U.S. Treasury yield.</t>
  </si>
  <si>
    <t>Equity risk premium (ERP)</t>
  </si>
  <si>
    <t>Based on current market estimates with a higher premium in the Bear case.</t>
  </si>
  <si>
    <t>Space segment beta</t>
  </si>
  <si>
    <t>Estimated using comparable aerospace, satellite, and AI companies.</t>
  </si>
  <si>
    <t>Connectivity segment beta</t>
  </si>
  <si>
    <t>AI segment beta</t>
  </si>
  <si>
    <t>Revenue-weighted blended beta</t>
  </si>
  <si>
    <t>Calculated using each segment's contribution to total revenue.</t>
  </si>
  <si>
    <t>Target debt weight D/(D+E)</t>
  </si>
  <si>
    <t>Assumes SpaceX remains predominantly equity-financed following the IPO.</t>
  </si>
  <si>
    <t>Cost of equity, Ke = Rf + Beta×ERP</t>
  </si>
  <si>
    <t>Calculated using CAPM.</t>
  </si>
  <si>
    <t>WACC</t>
  </si>
  <si>
    <t>Calculated using the weighted average cost of equity and after-tax cost of debt.</t>
  </si>
  <si>
    <t>8 ·  Terminal Value</t>
  </si>
  <si>
    <t>Terminal growth rate, g</t>
  </si>
  <si>
    <t>Limited to a sustainable long-term growth rate below 3%.</t>
  </si>
  <si>
    <t>Exit EV/EBITDA multiple (cross-check)</t>
  </si>
  <si>
    <t>Used as a valuation cross-check rather than the primary terminal value method.</t>
  </si>
  <si>
    <t>TV method (1 = GGM, 2 = Exit Multiple)</t>
  </si>
  <si>
    <t>Change cell C59 to toggle between GGM &amp; Exit Multiple Method</t>
  </si>
  <si>
    <t>Mid-year discounting (1 = Yes)</t>
  </si>
  <si>
    <t>Assumes cash flows are generated evenly throughout the year and discounts them using the mid-year convention.</t>
  </si>
  <si>
    <t>9 ·  S-1/A Balance Sheet Inputs (Blue = hardcoded from filing, scenario-invariant)</t>
  </si>
  <si>
    <t>Opening debt, $M (Mar-31-2026)</t>
  </si>
  <si>
    <t>Outstanding debt reported in the S-1/A filing.</t>
  </si>
  <si>
    <t>Cash, $M, pre-IPO (Mar-31-2026)</t>
  </si>
  <si>
    <t>Cash balance immediately before the IPO.</t>
  </si>
  <si>
    <t>IPO net proceeds, $M (Jun-12-2026)</t>
  </si>
  <si>
    <t>Net proceeds expected from the IPO after underwriting fees.</t>
  </si>
  <si>
    <t>Pro forma opening cash, $M (post-IPO)</t>
  </si>
  <si>
    <t>Opening cash adjusted for IPO proceeds.</t>
  </si>
  <si>
    <t>Net debt/(net cash), $M</t>
  </si>
  <si>
    <t>Reflects the post-IPO cash position after debt adjustments.</t>
  </si>
  <si>
    <t>Preferred stock remaining (Mar-31-2026), $M</t>
  </si>
  <si>
    <t>Outstanding preferred shares expected to convert at IPO.</t>
  </si>
  <si>
    <t>Diluted shares post-IPO (M)</t>
  </si>
  <si>
    <t>Fully diluted post-IPO share count used for per-share valuation.</t>
  </si>
  <si>
    <t>Current share price, $</t>
  </si>
  <si>
    <t>Reference market price used to compare against the model's implied valuation.</t>
  </si>
  <si>
    <t>Space Exploration Technologies Corp. (SPCX): Input_Data Extraction</t>
  </si>
  <si>
    <t>All figures in $ millions unless noted. FY-3=FY2023, FY-2=FY2024, FY-1=FY2025 (fiscal year end Dec 31)</t>
  </si>
  <si>
    <t>Line Item</t>
  </si>
  <si>
    <t>Units</t>
  </si>
  <si>
    <t>FY2023 (FY-3)</t>
  </si>
  <si>
    <t>FY2024 (FY-2)</t>
  </si>
  <si>
    <t>FY2025 (FY-1)</t>
  </si>
  <si>
    <t>Company name</t>
  </si>
  <si>
    <t>Space Exploration Technologies Corp.</t>
  </si>
  <si>
    <t>Ticker</t>
  </si>
  <si>
    <t>SPCX</t>
  </si>
  <si>
    <t>Reporting currency</t>
  </si>
  <si>
    <t>USD</t>
  </si>
  <si>
    <t>$M</t>
  </si>
  <si>
    <t>Most recent reporting date</t>
  </si>
  <si>
    <t>March 31, 2026 (Q1 2026, unaudited); FY-1 = FYE Dec 31, 2025 (audited)</t>
  </si>
  <si>
    <t>Diluted shares outstanding (period-end)</t>
  </si>
  <si>
    <t>13,075.9 (Class A 7,380.2 + Class B 5,695.7, post-offering)</t>
  </si>
  <si>
    <t>157.54 (close 2026-07-01; IPO priced at $135.00 on 2026-06-12, trading range $149-$226 since listing)</t>
  </si>
  <si>
    <t>Sector</t>
  </si>
  <si>
    <t>Aerospace/Space Launch, Satellite Connectivity, and AI Compute/Infrastructure (diversified, 3 reportable segments)</t>
  </si>
  <si>
    <t>Income Statement</t>
  </si>
  <si>
    <t>Revenue (total)</t>
  </si>
  <si>
    <t>Segment revenue 1 (Space)</t>
  </si>
  <si>
    <t>n/a</t>
  </si>
  <si>
    <t>Segment revenue 2 (Connectivity)</t>
  </si>
  <si>
    <t>Segment revenue 3 (AI)</t>
  </si>
  <si>
    <t>Segment revenue 4</t>
  </si>
  <si>
    <t>Segment revenue 5</t>
  </si>
  <si>
    <t>COGS</t>
  </si>
  <si>
    <t>Gross profit</t>
  </si>
  <si>
    <t>SG&amp;A</t>
  </si>
  <si>
    <t>R&amp;D</t>
  </si>
  <si>
    <t>Other operating expenses</t>
  </si>
  <si>
    <t>EBITDA</t>
  </si>
  <si>
    <t>D&amp;A</t>
  </si>
  <si>
    <t>EBIT</t>
  </si>
  <si>
    <t>Interest expense</t>
  </si>
  <si>
    <t>Interest income</t>
  </si>
  <si>
    <t>Other non-op</t>
  </si>
  <si>
    <t>Pre-tax income</t>
  </si>
  <si>
    <t>Tax expense</t>
  </si>
  <si>
    <t>Net income</t>
  </si>
  <si>
    <t>Minority interest</t>
  </si>
  <si>
    <t>NI to common</t>
  </si>
  <si>
    <t>Basic shares (wtd avg)</t>
  </si>
  <si>
    <t>Diluted shares (wtd avg)</t>
  </si>
  <si>
    <t>EPS diluted</t>
  </si>
  <si>
    <t>Balance Sheet (period-end)</t>
  </si>
  <si>
    <t>Cash</t>
  </si>
  <si>
    <t>ST investments</t>
  </si>
  <si>
    <t>AR</t>
  </si>
  <si>
    <t>Inventory</t>
  </si>
  <si>
    <t>Other CA</t>
  </si>
  <si>
    <t>Total CA</t>
  </si>
  <si>
    <t>PP&amp;E net</t>
  </si>
  <si>
    <t>Goodwill</t>
  </si>
  <si>
    <t>Intangibles</t>
  </si>
  <si>
    <t>Other LT assets</t>
  </si>
  <si>
    <t>Total assets</t>
  </si>
  <si>
    <t>AP</t>
  </si>
  <si>
    <t>ST debt/current LTD</t>
  </si>
  <si>
    <t>Other CL</t>
  </si>
  <si>
    <t>Total CL</t>
  </si>
  <si>
    <t>LT debt</t>
  </si>
  <si>
    <t>DTL</t>
  </si>
  <si>
    <t>Other LT liab</t>
  </si>
  <si>
    <t>Total liab</t>
  </si>
  <si>
    <t>Common equity</t>
  </si>
  <si>
    <t>Retained earnings</t>
  </si>
  <si>
    <t>Other equity/AOCI</t>
  </si>
  <si>
    <t>MI (BS)</t>
  </si>
  <si>
    <t>Total equity</t>
  </si>
  <si>
    <t>Total L&amp;E</t>
  </si>
  <si>
    <t>Cash Flow</t>
  </si>
  <si>
    <t>NI (CF)</t>
  </si>
  <si>
    <t>D&amp;A (CF)</t>
  </si>
  <si>
    <t>SBC</t>
  </si>
  <si>
    <t>∆WC</t>
  </si>
  <si>
    <t>Other op</t>
  </si>
  <si>
    <t>CFO</t>
  </si>
  <si>
    <t>Capex</t>
  </si>
  <si>
    <t>Acquisitions</t>
  </si>
  <si>
    <t>Other inv</t>
  </si>
  <si>
    <t>CFI</t>
  </si>
  <si>
    <t>Debt iss/(repaid)</t>
  </si>
  <si>
    <t>Equity iss/(repurch)</t>
  </si>
  <si>
    <t>Other fin</t>
  </si>
  <si>
    <t>CFF</t>
  </si>
  <si>
    <t>FX</t>
  </si>
  <si>
    <t>Net change in cash</t>
  </si>
  <si>
    <t>Qualitative (FY-1 only)</t>
  </si>
  <si>
    <t>Business description</t>
  </si>
  <si>
    <t>Vertically integrated space, satellite-connectivity, and AI company. Designs, manufactures and launches reusable rockets (Falcon 9, Falcon Heavy, Starship/Super Heavy) and Dragon spacecraft; operates the Starlink global LEO broadband and satellite-to-mobile constellation (~9,600 satellites, 164 countries, 10.3M subscribers as of Mar-2026); and, following the Feb-2026 acquisition of xAI, operates AI compute infrastructure (COLOSSUS/COLOSSUS II), the Grok frontier-model family, and the X platform.</t>
  </si>
  <si>
    <t>Products/segments</t>
  </si>
  <si>
    <t>Three reportable segments: Space (Falcon/Dragon/Starship launch services to commercial, civil and government customers), Connectivity (Starlink Consumer Broadband, Enterprise, Government Solutions, Starlink Mobile), AI (AI compute capacity, Grok, X advertising and subscriptions).</t>
  </si>
  <si>
    <t>Recent M&amp;A</t>
  </si>
  <si>
    <t>Acquired xAI (X.AI Holdings Corp.), effective Feb-2-2026, itself having acquired X Holdings Corp. (Twitter) effective Mar-28-2025: both recast under common-control accounting for all periods presented. Pending: EchoStar spectrum-license purchase (FCC-approved May-12-2026; expected close Nov-2027). Option (not obligation) to acquire Cursor (Anysphere, Inc.) at an implied $60.0B equity value.</t>
  </si>
  <si>
    <t>Off-BS items</t>
  </si>
  <si>
    <t>Cursor option agreement: $1.5B termination fee + $8.5B deferred services fee contingent on certain terminations (payable in cash or stock). Non-cancellable multi-year cloud-compute capacity commitments referenced qualitatively (amounts not quantified in extractable sections).</t>
  </si>
  <si>
    <t>SPCX. Income Statement Forecast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</si>
  <si>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</si>
  <si>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</si>
  <si>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</si>
  <si>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</si>
  <si>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</si>
  <si>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</si>
  <si>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</si>
  <si>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</si>
  <si>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Segment Revenue Build</t>
  </si>
  <si>
    <t>Space. Revenue growth %</t>
  </si>
  <si>
    <t>Space. Revenue ($M)</t>
  </si>
  <si>
    <t>Connectivity. Revenue growth %</t>
  </si>
  <si>
    <t>Connectivity. Revenue ($M)</t>
  </si>
  <si>
    <t>AI. Revenue growth %</t>
  </si>
  <si>
    <t>AI. Revenue ($M)</t>
  </si>
  <si>
    <t>Total Revenue ($M)</t>
  </si>
  <si>
    <t>Total Revenue YoY growth %</t>
  </si>
  <si>
    <t>Segment Adjusted EBITDA Build (historical memo in blue. not part of Input schema; source: S-1/A segment data)</t>
  </si>
  <si>
    <t>Space. Adjusted EBITDA, historical memo ($M)</t>
  </si>
  <si>
    <t>Space. EBITDA margin %</t>
  </si>
  <si>
    <t>Space. Adjusted EBITDA ($M)</t>
  </si>
  <si>
    <t>Connectivity. Adjusted EBITDA, historical memo ($M)</t>
  </si>
  <si>
    <t>Connectivity. EBITDA margin %</t>
  </si>
  <si>
    <t>Connectivity. Adjusted EBITDA ($M)</t>
  </si>
  <si>
    <t>AI. Adjusted EBITDA, historical memo ($M)</t>
  </si>
  <si>
    <t>AI. EBITDA margin %</t>
  </si>
  <si>
    <t>AI. Adjusted EBITDA ($M)</t>
  </si>
  <si>
    <t>Total Adjusted EBITDA ($M)</t>
  </si>
  <si>
    <t>Total Adjusted EBITDA margin %</t>
  </si>
  <si>
    <t>EBIT Build</t>
  </si>
  <si>
    <t>D&amp;A ($M)</t>
  </si>
  <si>
    <t>Stock-based comp ($M)</t>
  </si>
  <si>
    <t>EBIT ($M)</t>
  </si>
  <si>
    <t>EBIT margin %</t>
  </si>
  <si>
    <t>Interest, Tax &amp; Net Income</t>
  </si>
  <si>
    <t>Interest expense ($M)</t>
  </si>
  <si>
    <t>Interest income ($M)</t>
  </si>
  <si>
    <t>Pre-tax income ($M)</t>
  </si>
  <si>
    <t>Tax rate</t>
  </si>
  <si>
    <t>Tax expense ($M)</t>
  </si>
  <si>
    <t>Net income ($M)</t>
  </si>
  <si>
    <t>Net income margin %</t>
  </si>
  <si>
    <t>Per-Share Data</t>
  </si>
  <si>
    <t>Diluted shares outstanding ($M)</t>
  </si>
  <si>
    <t>EPS, diluted ($)</t>
  </si>
  <si>
    <t>SPCX. Balance Sheet &amp; Cash Flow Forecast</t>
  </si>
  <si>
    <t>All figures $M. ORANGE=Assumption (scenario-driven). BLACK=same-sheet formula. BLUE=S-1/A data.</t>
  </si>
  <si>
    <t>PP&amp;E and D&amp;A Schedule</t>
  </si>
  <si>
    <t>Opening PP&amp;E ($M)</t>
  </si>
  <si>
    <t>Space. Capex, % of segment revenue</t>
  </si>
  <si>
    <t>Space. Capex ($M)</t>
  </si>
  <si>
    <t>Connectivity. Capex, % of segment revenue</t>
  </si>
  <si>
    <t>Connectivity. Capex ($M)</t>
  </si>
  <si>
    <t>AI. Capex, % of segment revenue</t>
  </si>
  <si>
    <t>AI. Capex ($M)</t>
  </si>
  <si>
    <t>Total Capex ($M)</t>
  </si>
  <si>
    <t>Blended PP&amp;E useful life, revenue-weighted (years)</t>
  </si>
  <si>
    <t>D&amp;A ($M) = Opening PP&amp;E / Blended useful life</t>
  </si>
  <si>
    <t>Closing PP&amp;E ($M)</t>
  </si>
  <si>
    <t>Stock-based comp, % of revenue (flat)</t>
  </si>
  <si>
    <t>Debt Schedule</t>
  </si>
  <si>
    <t>Opening debt ($M)</t>
  </si>
  <si>
    <t>Repayment ($M)</t>
  </si>
  <si>
    <t>Closing debt ($M)</t>
  </si>
  <si>
    <t>Average debt balance ($M)</t>
  </si>
  <si>
    <t>Computed on AVERAGE debt balance</t>
  </si>
  <si>
    <t>Cash &amp; Interest Income</t>
  </si>
  <si>
    <t>Opening cash ($M)</t>
  </si>
  <si>
    <t>Interest income rate on cash (flat)</t>
  </si>
  <si>
    <t>Approximate closing = opening + EBIT×(1−t) + D&amp;A + SBC + ΔNWC − Capex − Debt repayment.</t>
  </si>
  <si>
    <t>Approximate closing cash, pre-interest income ($M)</t>
  </si>
  <si>
    <t>Working Capital Schedule (DIO/DPO applied to Revenue. COGS not disclosed; see Assumptions sheet notes)</t>
  </si>
  <si>
    <t>DSO (days)</t>
  </si>
  <si>
    <t>AR ($M)</t>
  </si>
  <si>
    <t>Inventory, proxy ($M)</t>
  </si>
  <si>
    <t>Other CA, % of revenue</t>
  </si>
  <si>
    <t>Other CA ($M)</t>
  </si>
  <si>
    <t>Total CA, excl. cash ($M)</t>
  </si>
  <si>
    <t>AP ($M)</t>
  </si>
  <si>
    <t>Other CL, % of revenue</t>
  </si>
  <si>
    <t>Other CL ($M)</t>
  </si>
  <si>
    <t>Total CL, excl. debt current portion ($M)</t>
  </si>
  <si>
    <t>Net Working Capital, excl. cash &amp; debt ($M)</t>
  </si>
  <si>
    <t>(Increase)/Decrease in NWC ($M)</t>
  </si>
  <si>
    <t>Cash Flow Statement (Indirect Method)</t>
  </si>
  <si>
    <t>(+) D&amp;A ($M)</t>
  </si>
  <si>
    <t>(+) Stock-based comp ($M)</t>
  </si>
  <si>
    <t>(+/-) Change in NWC ($M)</t>
  </si>
  <si>
    <t>Cash from operations (CFO) ($M)</t>
  </si>
  <si>
    <t>Capex ($M)</t>
  </si>
  <si>
    <t>Cash used in investing (CFI) ($M)</t>
  </si>
  <si>
    <t>Debt repayment ($M)</t>
  </si>
  <si>
    <t>Cash from financing (CFF) ($M)</t>
  </si>
  <si>
    <t>Net change in cash ($M)</t>
  </si>
  <si>
    <t>Closing cash ($M)</t>
  </si>
  <si>
    <t>Balance Sheet Roll-Forward (Forecast)</t>
  </si>
  <si>
    <t>Cash ($M)</t>
  </si>
  <si>
    <t>PP&amp;E, net ($M)</t>
  </si>
  <si>
    <t>Total Assets ($M)</t>
  </si>
  <si>
    <t>Total Debt ($M)</t>
  </si>
  <si>
    <t>Total Liabilities ($M)</t>
  </si>
  <si>
    <t>Opening Equity ($M)</t>
  </si>
  <si>
    <t>(+) Net income ($M)</t>
  </si>
  <si>
    <t>(+) Stock-based comp, non-cash equity build ($M)</t>
  </si>
  <si>
    <t>SBC is a non-cash expense already deducted in Net income; adding it back to equity keeps the BS balanced</t>
  </si>
  <si>
    <t>Closing Equity ($M)</t>
  </si>
  <si>
    <t>Total Liabilities &amp; Equity ($M)</t>
  </si>
  <si>
    <t>SPCX. Discounted Cash Flow Valuation</t>
  </si>
  <si>
    <t>All figures $M except per-share data. Blended WACC used for discounting (segment WACCs are analytical memos in Assumptions rows 46-55). Source: S-1/A Amendment No. 2, filed 2026-06-03.</t>
  </si>
  <si>
    <t>A. Weighted Average Cost of Capital. Consolidated (blended WACC; segment WACCs memo in Assumptions rows 60-65)</t>
  </si>
  <si>
    <t>Cost of equity, Ke</t>
  </si>
  <si>
    <t>After-tax cost of debt, Kd x (1-t)</t>
  </si>
  <si>
    <t>Target debt weight, D/(D+E)</t>
  </si>
  <si>
    <t>Ke*(1-D/(D+E)) + Kd*(1-t)*D/(D+E)</t>
  </si>
  <si>
    <t>B. Unlevered Free Cash Flow</t>
  </si>
  <si>
    <t>EBITDA ($M)</t>
  </si>
  <si>
    <t>EBIT ($M) (memo)</t>
  </si>
  <si>
    <t>(-) Stock-based comp ($M)</t>
  </si>
  <si>
    <t>Capex ($M) (memo, for tax depreciation calc)</t>
  </si>
  <si>
    <t>Book D&amp;A ($M) (memo)</t>
  </si>
  <si>
    <t>Tax depreciation ($M) = MAX(Book D&amp;A, Bonus-eligible % x Capex)</t>
  </si>
  <si>
    <t>Cash taxable income ($M) = EBITDA - SBC - Tax depreciation</t>
  </si>
  <si>
    <t>Cash tax ($M) = MAX(0, Cash taxable income) x Tax rate</t>
  </si>
  <si>
    <t>EBIT x (1-t) equivalent ($M) = EBIT + Book D&amp;A - Cash tax</t>
  </si>
  <si>
    <t>(-) Capex ($M)</t>
  </si>
  <si>
    <t>Unlevered Free Cash Flow ($M)</t>
  </si>
  <si>
    <t>C. Discounting</t>
  </si>
  <si>
    <t>Period (t)</t>
  </si>
  <si>
    <t>Discount period (mid-year adjustment per Assumptions toggle)</t>
  </si>
  <si>
    <t>Discount factor</t>
  </si>
  <si>
    <t>PV of UFCF ($M)</t>
  </si>
  <si>
    <t>Sum PV, explicit period ($M)</t>
  </si>
  <si>
    <t>D. Terminal Value</t>
  </si>
  <si>
    <t>Terminal EBIT ($M) = FY+5 EBIT x (1+g)</t>
  </si>
  <si>
    <t>Terminal EBIT x (1-t) ($M)</t>
  </si>
  <si>
    <t>Terminal D&amp;A ($M) = FY+5 D&amp;A x (1+g)</t>
  </si>
  <si>
    <t>Terminal Capex ($M) (= D&amp;A, steady-state reinvestment)</t>
  </si>
  <si>
    <t>Terminal (+/-) Change in NWC ($M) = -(g x FY+5 NWC)</t>
  </si>
  <si>
    <t>Terminal-year Normalized UFCF ($M)</t>
  </si>
  <si>
    <t>Gordon Growth: Terminal Value ($M) = TV_FCF / (WACC - g)</t>
  </si>
  <si>
    <t>Exit Multiple: Terminal Value ($M) = FY+5 EBITDA x Exit Multiple</t>
  </si>
  <si>
    <t>Selected Terminal Value ($M) (per Assumptions TV Method toggle)</t>
  </si>
  <si>
    <t>PV of Terminal Value ($M)</t>
  </si>
  <si>
    <t>TV as % of Enterprise Value</t>
  </si>
  <si>
    <t>E. Equity Value Bridge</t>
  </si>
  <si>
    <t>(+) PV of Terminal Value ($M)</t>
  </si>
  <si>
    <t>Enterprise Value ($M)</t>
  </si>
  <si>
    <t>(-) Net debt ($M)</t>
  </si>
  <si>
    <t>(-) Minority interest ($M)</t>
  </si>
  <si>
    <t>(-) Preferred stock ($M)</t>
  </si>
  <si>
    <t>Equity Value ($M)</t>
  </si>
  <si>
    <t>Implied share price ($)</t>
  </si>
  <si>
    <t>Current share price ($)</t>
  </si>
  <si>
    <t>Implied upside / (downside) %</t>
  </si>
  <si>
    <t>F. Sensitivity Analysis</t>
  </si>
  <si>
    <t>Sensitivity 1: Implied Share Price ($). WACC (rows) x Terminal Growth g (cols)</t>
  </si>
  <si>
    <t>WACC \ g</t>
  </si>
  <si>
    <t>Sensitivity 2: Implied Share Price ($). WACC (rows) x Exit EV/EBITDA Multiple (cols)</t>
  </si>
  <si>
    <t>WACC \ Exit x</t>
  </si>
  <si>
    <t>G. Implied Trading Multiples (at DCF-implied Enterprise/Equity Value)</t>
  </si>
  <si>
    <t>EV / FY-1 Revenue (FY2025A)</t>
  </si>
  <si>
    <t>EV / FY+1 Revenue (FY2026E)</t>
  </si>
  <si>
    <t>EV / FY-1 Adj. EBITDA (FY2025A)</t>
  </si>
  <si>
    <t>EV / FY+1 Adj. EBITDA (FY2026E)</t>
  </si>
  <si>
    <t>Implied P/E, FY+1E (n.m. if NI &lt;= 0)</t>
  </si>
  <si>
    <t>SPCX: Valuation Dashboard</t>
  </si>
  <si>
    <t>Current Market Price as of 1st July</t>
  </si>
  <si>
    <t>Upside/(Downside)</t>
  </si>
  <si>
    <t>TV/EV Ratio</t>
  </si>
  <si>
    <t xml:space="preserve">⚠ TV/EV above 100% in Base scenario: point estimate illustrative. Use Sensitivity 1 (DCF rows 62-67) and Sensitivity 2 (rows 70-75) as primary output. </t>
  </si>
  <si>
    <t>Scenario Comparison  (Bear, Base, Bull) - Gordon Growth Method (Reference Values)</t>
  </si>
  <si>
    <t>Metric</t>
  </si>
  <si>
    <t>Terminal growth rate g</t>
  </si>
  <si>
    <t>Implied Share Price ($)</t>
  </si>
  <si>
    <t>Upside / (Downside)</t>
  </si>
  <si>
    <t>PV Explicit FCFs ($M)</t>
  </si>
  <si>
    <t>PV Terminal Value ($M)</t>
  </si>
  <si>
    <t>TV / EV Ratio</t>
  </si>
  <si>
    <t>Revenue FY26E ($M)</t>
  </si>
  <si>
    <t>Adj.EBITDA FY26E ($M)</t>
  </si>
  <si>
    <t>Revenue FY30E ($M)</t>
  </si>
  <si>
    <t>Adj.EBITDA FY30E ($M)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</si>
  <si>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</si>
  <si>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</si>
  <si>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</si>
  <si>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</si>
  <si>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</si>
  <si>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</si>
  <si>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</si>
  <si>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</si>
  <si>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Adj.EBITDA ($M)</t>
  </si>
  <si>
    <t>Space Revenue ($M)</t>
  </si>
  <si>
    <t>-</t>
  </si>
  <si>
    <t>Connectivity Rev ($M)</t>
  </si>
  <si>
    <t>AI Revenue ($M)</t>
  </si>
  <si>
    <t>Blended WACC</t>
  </si>
  <si>
    <t>Exit EV/EBITDA multiple</t>
  </si>
  <si>
    <t>Net debt/(net cash) $M</t>
  </si>
  <si>
    <t>Non-GAAP EBITDA haircut</t>
  </si>
  <si>
    <t>Space PP&amp;E life (yr)</t>
  </si>
  <si>
    <t>Connectivity PP&amp;E life (yr)</t>
  </si>
  <si>
    <t>AI PP&amp;E life (yr)</t>
  </si>
  <si>
    <t>Interest income rate</t>
  </si>
  <si>
    <t>Debt repayment rate p.a.</t>
  </si>
  <si>
    <t>Bonus depr. % of capex</t>
  </si>
  <si>
    <t>Cash tax rate</t>
  </si>
  <si>
    <t>TV method (1=GGM 2=Exit)</t>
  </si>
  <si>
    <t>SPCX - DCF Valuation</t>
  </si>
  <si>
    <t>Based on S-1/A Amendment, Current price: $157.54 (As of 1st July 2026)</t>
  </si>
  <si>
    <t>Three-scenario DCF: Bear, Base, Bull</t>
  </si>
  <si>
    <t>SCENARIO COMPARISON (GGM)</t>
  </si>
  <si>
    <t>Implied Share Price</t>
  </si>
  <si>
    <t>vs. Current ($157.54)</t>
  </si>
  <si>
    <t>SCENARIO COMPARISON (Exit Multiple Method)</t>
  </si>
  <si>
    <t>KEY ASSUMPTIONS</t>
  </si>
  <si>
    <t>11.7%</t>
  </si>
  <si>
    <t>9.8%</t>
  </si>
  <si>
    <t>8.6%</t>
  </si>
  <si>
    <t>Terminal growth g</t>
  </si>
  <si>
    <t>2.0%</t>
  </si>
  <si>
    <t>2.5%</t>
  </si>
  <si>
    <t>2.9%</t>
  </si>
  <si>
    <t>Exit multiple</t>
  </si>
  <si>
    <t>12.0x</t>
  </si>
  <si>
    <t>18.0x</t>
  </si>
  <si>
    <t>22.0x</t>
  </si>
  <si>
    <t>Space PP&amp;E life</t>
  </si>
  <si>
    <t>15 yr</t>
  </si>
  <si>
    <t>18 yr</t>
  </si>
  <si>
    <t>22 yr</t>
  </si>
  <si>
    <t>Revenue ($M)</t>
  </si>
  <si>
    <t>Adj. EBITDA ($M)</t>
  </si>
  <si>
    <t>EBITDA Margin %</t>
  </si>
  <si>
    <t>UFCF ($M)</t>
  </si>
  <si>
    <t>Segment</t>
  </si>
  <si>
    <t>FY25A Rev</t>
  </si>
  <si>
    <t>FY30E Rev</t>
  </si>
  <si>
    <t>FY30E EBITDA%</t>
  </si>
  <si>
    <t>Space (Launch)</t>
  </si>
  <si>
    <t>Connectivity (Starlink)</t>
  </si>
  <si>
    <t>AI (xAI/Compute)</t>
  </si>
  <si>
    <t>Total</t>
  </si>
  <si>
    <t>⚠ Note - Bear-case GGM enterprise value is negative because Bear's terminal-year FCF is itself negative under that scenario's margin/capex assumptions, the model still resolves to a small positive equity value due to SpaceX's large net cash position.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</si>
</sst>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0.0%"/>
    <numFmt numFmtId="165" formatCode="0.0"/>
    <numFmt numFmtId="166" formatCode="#,##0.0"/>
    <numFmt numFmtId="167" formatCode="\$#,##0.00"/>
    <numFmt numFmtId="168" formatCode="#,##0.0;\(#,##0.0\);\-"/>
    <numFmt numFmtId="169" formatCode="#,##0.00;\(#,##0.00\);\-"/>
    <numFmt numFmtId="170" formatCode="0.000"/>
    <numFmt numFmtId="171" formatCode="0.0\x"/>
    <numFmt numFmtId="172" formatCode="0.00\x"/>
    <numFmt numFmtId="173" formatCode="0.0\x;&quot;n.m.&quot;"/>
    <numFmt numFmtId="174" formatCode="&quot;$&quot;#,##0.00"/>
  </numFmts>
  <fonts count="55">
    <font>
      <sz val="11.0"/>
      <color theme="1"/>
      <name val="Calibri"/>
      <scheme val="minor"/>
    </font>
    <font>
      <b/>
      <sz val="18.0"/>
      <color rgb="FFFFFFFF"/>
      <name val="Calibri"/>
    </font>
    <font/>
    <font>
      <sz val="10.0"/>
      <color rgb="FF000000"/>
      <name val="Calibri"/>
    </font>
    <font>
      <sz val="11.0"/>
      <color theme="1"/>
      <name val="Calibri"/>
    </font>
    <font>
      <sz val="13.0"/>
      <color rgb="FFFFFFFF"/>
      <name val="Calibri"/>
    </font>
    <font>
      <sz val="10.0"/>
      <color rgb="FFD1D5DB"/>
      <name val="Calibri"/>
    </font>
    <font>
      <b/>
      <sz val="10.0"/>
      <color rgb="FFFFFFFF"/>
      <name val="Calibri"/>
    </font>
    <font>
      <b/>
      <sz val="10.0"/>
      <color rgb="FF000000"/>
      <name val="Calibri"/>
    </font>
    <font>
      <b/>
      <u/>
      <sz val="10.0"/>
      <color rgb="FF000000"/>
      <name val="Calibri"/>
    </font>
    <font>
      <b/>
      <u/>
      <sz val="10.0"/>
      <color rgb="FF000000"/>
      <name val="Calibri"/>
    </font>
    <font>
      <b/>
      <sz val="10.0"/>
      <color rgb="FF0000FF"/>
      <name val="Calibri"/>
    </font>
    <font>
      <b/>
      <sz val="10.0"/>
      <color rgb="FFE36C09"/>
      <name val="Calibri"/>
    </font>
    <font>
      <i/>
      <sz val="9.0"/>
      <color rgb="FF808080"/>
      <name val="Calibri"/>
    </font>
    <font>
      <b/>
      <sz val="14.0"/>
      <color rgb="FFFFFFFF"/>
      <name val="Calibri"/>
    </font>
    <font>
      <sz val="9.0"/>
      <color rgb="FFFFFFFF"/>
      <name val="Calibri"/>
    </font>
    <font>
      <b/>
      <sz val="11.0"/>
      <color rgb="FF92400E"/>
      <name val="Calibri"/>
    </font>
    <font>
      <b/>
      <sz val="16.0"/>
      <color rgb="FF92400E"/>
      <name val="Calibri"/>
    </font>
    <font>
      <b/>
      <sz val="9.0"/>
      <color rgb="FF92400E"/>
      <name val="Calibri"/>
    </font>
    <font>
      <b/>
      <sz val="9.0"/>
      <color rgb="FFFFFFFF"/>
      <name val="Calibri"/>
    </font>
    <font>
      <sz val="10.0"/>
      <color rgb="FFE36C09"/>
      <name val="Calibri"/>
    </font>
    <font>
      <i/>
      <sz val="9.0"/>
      <color rgb="FF000000"/>
      <name val="Calibri"/>
    </font>
    <font>
      <sz val="10.0"/>
      <color rgb="FF0000FF"/>
      <name val="Calibri"/>
    </font>
    <font>
      <b/>
      <sz val="14.0"/>
      <color theme="0"/>
      <name val="Calibri"/>
    </font>
    <font>
      <b/>
      <sz val="14.0"/>
      <color rgb="FF000000"/>
      <name val="Calibri"/>
    </font>
    <font>
      <b/>
      <sz val="14.0"/>
      <color theme="1"/>
      <name val="Calibri"/>
    </font>
    <font>
      <sz val="11.0"/>
      <color theme="0"/>
      <name val="Calibri"/>
    </font>
    <font>
      <b/>
      <sz val="12.0"/>
      <color rgb="FFFFFFFF"/>
      <name val="Calibri"/>
    </font>
    <font>
      <b/>
      <sz val="12.0"/>
      <color theme="0"/>
      <name val="Calibri"/>
    </font>
    <font>
      <sz val="11.0"/>
      <color rgb="FF0000FF"/>
      <name val="Calibri"/>
    </font>
    <font>
      <i/>
      <sz val="9.0"/>
      <color rgb="FF808080"/>
      <name val="Cambria"/>
    </font>
    <font>
      <i/>
      <sz val="11.0"/>
      <color theme="1"/>
      <name val="Calibri"/>
    </font>
    <font>
      <i/>
      <sz val="9.0"/>
      <color theme="1"/>
      <name val="Calibri"/>
    </font>
    <font>
      <sz val="10.0"/>
      <color rgb="FF00B050"/>
      <name val="Calibri"/>
    </font>
    <font>
      <b/>
      <sz val="11.0"/>
      <color theme="1"/>
      <name val="Cambria"/>
    </font>
    <font>
      <b/>
      <sz val="10.0"/>
      <color theme="0"/>
      <name val="Calibri"/>
    </font>
    <font>
      <sz val="9.0"/>
      <color theme="1"/>
      <name val="Calibri"/>
    </font>
    <font>
      <b/>
      <sz val="9.0"/>
      <color theme="1"/>
      <name val="Calibri"/>
    </font>
    <font>
      <b/>
      <sz val="10.0"/>
      <color theme="1"/>
      <name val="Calibri"/>
    </font>
    <font>
      <sz val="10.0"/>
      <color theme="1"/>
      <name val="Calibri"/>
    </font>
    <font>
      <b/>
      <sz val="16.0"/>
      <color rgb="FFFFFFFF"/>
      <name val="Calibri"/>
    </font>
    <font>
      <b/>
      <sz val="20.0"/>
      <color rgb="FF00B050"/>
      <name val="Calibri"/>
    </font>
    <font>
      <b/>
      <sz val="20.0"/>
      <color rgb="FF0000FF"/>
      <name val="Calibri"/>
    </font>
    <font>
      <b/>
      <sz val="20.0"/>
      <color rgb="FFFF0000"/>
      <name val="Calibri"/>
    </font>
    <font>
      <b/>
      <sz val="14.0"/>
      <color rgb="FFFF0000"/>
      <name val="Calibri"/>
    </font>
    <font>
      <sz val="9.0"/>
      <color rgb="FFFF0000"/>
      <name val="Calibri"/>
    </font>
    <font>
      <sz val="10.0"/>
      <color theme="9"/>
      <name val="Calibri"/>
    </font>
    <font>
      <b/>
      <sz val="9.0"/>
      <color rgb="FFFF0000"/>
      <name val="Calibri"/>
    </font>
    <font>
      <b/>
      <sz val="20.0"/>
      <color rgb="FFFFFFFF"/>
      <name val="Calibri"/>
    </font>
    <font>
      <sz val="9.0"/>
      <color rgb="FF9CA3AF"/>
      <name val="Calibri"/>
    </font>
    <font>
      <sz val="10.0"/>
      <color rgb="FFCBD5E0"/>
      <name val="Calibri"/>
    </font>
    <font>
      <b/>
      <sz val="9.0"/>
      <color rgb="FF000000"/>
      <name val="Calibri"/>
    </font>
    <font>
      <sz val="9.0"/>
      <color rgb="FF000000"/>
      <name val="Calibri"/>
    </font>
    <font>
      <b/>
      <sz val="9.0"/>
      <color theme="0"/>
      <name val="Calibri"/>
    </font>
    <font>
      <b/>
      <sz val="10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374151"/>
        <bgColor rgb="FF374151"/>
      </patternFill>
    </fill>
    <fill>
      <patternFill patternType="solid">
        <fgColor rgb="FFF9FAFB"/>
        <bgColor rgb="FFF9FAFB"/>
      </patternFill>
    </fill>
    <fill>
      <patternFill patternType="solid">
        <fgColor rgb="FF4B5563"/>
        <bgColor rgb="FF4B5563"/>
      </patternFill>
    </fill>
    <fill>
      <patternFill patternType="solid">
        <fgColor rgb="FFFEF3C7"/>
        <bgColor rgb="FFFEF3C7"/>
      </patternFill>
    </fill>
    <fill>
      <patternFill patternType="solid">
        <fgColor rgb="FFE5E7EB"/>
        <bgColor rgb="FFE5E7EB"/>
      </patternFill>
    </fill>
    <fill>
      <patternFill patternType="solid">
        <fgColor rgb="FFFFF5F5"/>
        <bgColor rgb="FFFFF5F5"/>
      </patternFill>
    </fill>
    <fill>
      <patternFill patternType="solid">
        <fgColor rgb="FFF0FDF4"/>
        <bgColor rgb="FFF0FDF4"/>
      </patternFill>
    </fill>
    <fill>
      <patternFill patternType="solid">
        <fgColor rgb="FFEFF6FF"/>
        <bgColor rgb="FFEFF6FF"/>
      </patternFill>
    </fill>
    <fill>
      <patternFill patternType="solid">
        <fgColor rgb="FFFEF2F2"/>
        <bgColor rgb="FFFEF2F2"/>
      </patternFill>
    </fill>
    <fill>
      <patternFill patternType="solid">
        <fgColor rgb="FF0F172A"/>
        <bgColor rgb="FF0F172A"/>
      </patternFill>
    </fill>
    <fill>
      <patternFill patternType="solid">
        <fgColor rgb="FFF8FAFC"/>
        <bgColor rgb="FFF8FAFC"/>
      </patternFill>
    </fill>
    <fill>
      <patternFill patternType="solid">
        <fgColor rgb="FFE2E8F0"/>
        <bgColor rgb="FFE2E8F0"/>
      </patternFill>
    </fill>
    <fill>
      <patternFill patternType="solid">
        <fgColor rgb="FFFFFFFF"/>
        <bgColor rgb="FFFFFFFF"/>
      </patternFill>
    </fill>
    <fill>
      <patternFill patternType="solid">
        <fgColor rgb="FF991B1B"/>
        <bgColor rgb="FF991B1B"/>
      </patternFill>
    </fill>
    <fill>
      <patternFill patternType="solid">
        <fgColor rgb="FF1E3A5F"/>
        <bgColor rgb="FF1E3A5F"/>
      </patternFill>
    </fill>
    <fill>
      <patternFill patternType="solid">
        <fgColor rgb="FF14532D"/>
        <bgColor rgb="FF14532D"/>
      </patternFill>
    </fill>
    <fill>
      <patternFill patternType="solid">
        <fgColor rgb="FFE8F0FE"/>
        <bgColor rgb="FFE8F0FE"/>
      </patternFill>
    </fill>
    <fill>
      <patternFill patternType="solid">
        <fgColor rgb="FF000000"/>
        <bgColor rgb="FF000000"/>
      </patternFill>
    </fill>
  </fills>
  <borders count="32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/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/>
      <right/>
      <top/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top/>
    </border>
    <border>
      <right style="thin">
        <color rgb="FF000000"/>
      </right>
      <top/>
    </border>
  </borders>
  <cellStyleXfs count="1">
    <xf borderId="0" fillId="0" fontId="0" numFmtId="0" applyAlignment="1" applyFont="1"/>
  </cellStyleXfs>
  <cellXfs count="2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center" wrapText="0"/>
    </xf>
    <xf borderId="4" fillId="2" fontId="3" numFmtId="0" xfId="0" applyAlignment="1" applyBorder="1" applyFont="1">
      <alignment shrinkToFit="0" vertical="bottom" wrapText="0"/>
    </xf>
    <xf borderId="4" fillId="2" fontId="6" numFmtId="0" xfId="0" applyAlignment="1" applyBorder="1" applyFont="1">
      <alignment readingOrder="0" shrinkToFit="0" vertical="center" wrapText="0"/>
    </xf>
    <xf borderId="4" fillId="2" fontId="3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1" fillId="0" fontId="3" numFmtId="0" xfId="0" applyAlignment="1" applyBorder="1" applyFont="1">
      <alignment shrinkToFit="0" vertical="bottom" wrapText="0"/>
    </xf>
    <xf borderId="4" fillId="3" fontId="7" numFmtId="0" xfId="0" applyAlignment="1" applyBorder="1" applyFill="1" applyFont="1">
      <alignment shrinkToFit="0" vertical="center" wrapText="0"/>
    </xf>
    <xf borderId="1" fillId="3" fontId="7" numFmtId="0" xfId="0" applyAlignment="1" applyBorder="1" applyFont="1">
      <alignment shrinkToFit="0" vertical="center" wrapText="0"/>
    </xf>
    <xf borderId="4" fillId="0" fontId="8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shrinkToFit="0" vertical="center" wrapText="0"/>
    </xf>
    <xf borderId="4" fillId="4" fontId="8" numFmtId="0" xfId="0" applyAlignment="1" applyBorder="1" applyFill="1" applyFont="1">
      <alignment shrinkToFit="0" vertical="center" wrapText="0"/>
    </xf>
    <xf borderId="1" fillId="4" fontId="3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4" fillId="4" fontId="9" numFmtId="0" xfId="0" applyAlignment="1" applyBorder="1" applyFont="1">
      <alignment shrinkToFit="0" vertical="center" wrapText="0"/>
    </xf>
    <xf borderId="4" fillId="0" fontId="10" numFmtId="0" xfId="0" applyAlignment="1" applyBorder="1" applyFont="1">
      <alignment shrinkToFit="0" vertical="center" wrapText="0"/>
    </xf>
    <xf borderId="4" fillId="3" fontId="3" numFmtId="0" xfId="0" applyAlignment="1" applyBorder="1" applyFont="1">
      <alignment shrinkToFit="0" vertical="bottom" wrapText="0"/>
    </xf>
    <xf borderId="4" fillId="4" fontId="11" numFmtId="0" xfId="0" applyAlignment="1" applyBorder="1" applyFont="1">
      <alignment shrinkToFit="0" vertical="center" wrapText="0"/>
    </xf>
    <xf borderId="4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1" fillId="2" fontId="14" numFmtId="0" xfId="0" applyAlignment="1" applyBorder="1" applyFont="1">
      <alignment horizontal="center" shrinkToFit="0" vertical="center" wrapText="0"/>
    </xf>
    <xf borderId="1" fillId="5" fontId="15" numFmtId="0" xfId="0" applyAlignment="1" applyBorder="1" applyFill="1" applyFont="1">
      <alignment readingOrder="0" shrinkToFit="0" vertical="center" wrapText="0"/>
    </xf>
    <xf borderId="4" fillId="6" fontId="16" numFmtId="0" xfId="0" applyAlignment="1" applyBorder="1" applyFill="1" applyFont="1">
      <alignment shrinkToFit="0" vertical="center" wrapText="0"/>
    </xf>
    <xf borderId="4" fillId="6" fontId="17" numFmtId="0" xfId="0" applyAlignment="1" applyBorder="1" applyFont="1">
      <alignment horizontal="center" readingOrder="0" shrinkToFit="0" vertical="center" wrapText="0"/>
    </xf>
    <xf borderId="4" fillId="6" fontId="18" numFmtId="0" xfId="0" applyAlignment="1" applyBorder="1" applyFont="1">
      <alignment horizontal="left" shrinkToFit="0" vertical="center" wrapText="0"/>
    </xf>
    <xf borderId="4" fillId="6" fontId="4" numFmtId="0" xfId="0" applyAlignment="1" applyBorder="1" applyFont="1">
      <alignment shrinkToFit="0" vertical="bottom" wrapText="0"/>
    </xf>
    <xf borderId="4" fillId="3" fontId="19" numFmtId="0" xfId="0" applyAlignment="1" applyBorder="1" applyFont="1">
      <alignment horizontal="left" shrinkToFit="0" vertical="center" wrapText="0"/>
    </xf>
    <xf borderId="4" fillId="3" fontId="19" numFmtId="0" xfId="0" applyAlignment="1" applyBorder="1" applyFont="1">
      <alignment horizontal="center" shrinkToFit="0" vertical="center" wrapText="0"/>
    </xf>
    <xf borderId="4" fillId="2" fontId="7" numFmtId="0" xfId="0" applyAlignment="1" applyBorder="1" applyFont="1">
      <alignment shrinkToFit="0" vertical="center" wrapText="0"/>
    </xf>
    <xf borderId="4" fillId="2" fontId="4" numFmtId="0" xfId="0" applyAlignment="1" applyBorder="1" applyFont="1">
      <alignment shrinkToFit="0" vertical="bottom" wrapText="0"/>
    </xf>
    <xf borderId="4" fillId="0" fontId="3" numFmtId="0" xfId="0" applyAlignment="1" applyBorder="1" applyFont="1">
      <alignment shrinkToFit="0" vertical="center" wrapText="0"/>
    </xf>
    <xf borderId="4" fillId="0" fontId="20" numFmtId="164" xfId="0" applyAlignment="1" applyBorder="1" applyFont="1" applyNumberFormat="1">
      <alignment horizontal="center" shrinkToFit="0" vertical="center" wrapText="0"/>
    </xf>
    <xf borderId="4" fillId="0" fontId="3" numFmtId="164" xfId="0" applyAlignment="1" applyBorder="1" applyFont="1" applyNumberFormat="1">
      <alignment horizontal="center" shrinkToFit="0" vertical="center" wrapText="0"/>
    </xf>
    <xf borderId="4" fillId="0" fontId="21" numFmtId="0" xfId="0" applyAlignment="1" applyBorder="1" applyFont="1">
      <alignment readingOrder="0" shrinkToFit="0" vertical="center" wrapText="1"/>
    </xf>
    <xf borderId="4" fillId="2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6" fillId="0" fontId="2" numFmtId="0" xfId="0" applyBorder="1" applyFont="1"/>
    <xf borderId="4" fillId="0" fontId="20" numFmtId="164" xfId="0" applyAlignment="1" applyBorder="1" applyFont="1" applyNumberFormat="1">
      <alignment horizontal="center" readingOrder="0" shrinkToFit="0" vertical="center" wrapText="0"/>
    </xf>
    <xf borderId="4" fillId="0" fontId="20" numFmtId="1" xfId="0" applyAlignment="1" applyBorder="1" applyFont="1" applyNumberFormat="1">
      <alignment horizontal="center" shrinkToFit="0" vertical="center" wrapText="0"/>
    </xf>
    <xf borderId="4" fillId="0" fontId="3" numFmtId="1" xfId="0" applyAlignment="1" applyBorder="1" applyFont="1" applyNumberFormat="1">
      <alignment horizontal="center" shrinkToFit="0" vertical="center" wrapText="0"/>
    </xf>
    <xf borderId="4" fillId="0" fontId="21" numFmtId="0" xfId="0" applyAlignment="1" applyBorder="1" applyFont="1">
      <alignment shrinkToFit="0" vertical="center" wrapText="1"/>
    </xf>
    <xf borderId="4" fillId="0" fontId="20" numFmtId="2" xfId="0" applyAlignment="1" applyBorder="1" applyFont="1" applyNumberFormat="1">
      <alignment horizontal="center" shrinkToFit="0" vertical="center" wrapText="0"/>
    </xf>
    <xf borderId="4" fillId="0" fontId="3" numFmtId="2" xfId="0" applyAlignment="1" applyBorder="1" applyFont="1" applyNumberFormat="1">
      <alignment horizontal="center" shrinkToFit="0" vertical="center" wrapText="0"/>
    </xf>
    <xf borderId="7" fillId="0" fontId="2" numFmtId="0" xfId="0" applyBorder="1" applyFont="1"/>
    <xf borderId="4" fillId="0" fontId="20" numFmtId="10" xfId="0" applyAlignment="1" applyBorder="1" applyFont="1" applyNumberFormat="1">
      <alignment horizontal="center" shrinkToFit="0" vertical="center" wrapText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20" numFmtId="165" xfId="0" applyAlignment="1" applyBorder="1" applyFont="1" applyNumberFormat="1">
      <alignment horizontal="center" shrinkToFit="0" vertical="center" wrapText="0"/>
    </xf>
    <xf borderId="4" fillId="0" fontId="3" numFmtId="165" xfId="0" applyAlignment="1" applyBorder="1" applyFont="1" applyNumberFormat="1">
      <alignment horizontal="center" shrinkToFit="0" vertical="center" wrapText="0"/>
    </xf>
    <xf borderId="4" fillId="0" fontId="22" numFmtId="1" xfId="0" applyAlignment="1" applyBorder="1" applyFont="1" applyNumberFormat="1">
      <alignment horizontal="center" readingOrder="0" shrinkToFit="0" vertical="center" wrapText="0"/>
    </xf>
    <xf borderId="4" fillId="0" fontId="22" numFmtId="1" xfId="0" applyAlignment="1" applyBorder="1" applyFont="1" applyNumberFormat="1">
      <alignment readingOrder="0" shrinkToFit="0" vertical="bottom" wrapText="0"/>
    </xf>
    <xf borderId="4" fillId="0" fontId="22" numFmtId="1" xfId="0" applyAlignment="1" applyBorder="1" applyFont="1" applyNumberFormat="1">
      <alignment horizontal="center" shrinkToFit="0" vertical="center" wrapText="0"/>
    </xf>
    <xf borderId="4" fillId="0" fontId="22" numFmtId="1" xfId="0" applyAlignment="1" applyBorder="1" applyFont="1" applyNumberFormat="1">
      <alignment shrinkToFit="0" vertical="bottom" wrapText="0"/>
    </xf>
    <xf borderId="4" fillId="0" fontId="22" numFmtId="3" xfId="0" applyAlignment="1" applyBorder="1" applyFont="1" applyNumberFormat="1">
      <alignment horizontal="center" shrinkToFit="0" vertical="center" wrapText="0"/>
    </xf>
    <xf borderId="4" fillId="0" fontId="3" numFmtId="3" xfId="0" applyAlignment="1" applyBorder="1" applyFont="1" applyNumberFormat="1">
      <alignment horizontal="center" shrinkToFit="0" vertical="center" wrapText="0"/>
    </xf>
    <xf borderId="4" fillId="0" fontId="22" numFmtId="166" xfId="0" applyAlignment="1" applyBorder="1" applyFont="1" applyNumberFormat="1">
      <alignment horizontal="center" shrinkToFit="0" vertical="center" wrapText="0"/>
    </xf>
    <xf borderId="4" fillId="0" fontId="22" numFmtId="167" xfId="0" applyAlignment="1" applyBorder="1" applyFont="1" applyNumberFormat="1">
      <alignment horizontal="center" readingOrder="0" shrinkToFit="0" vertical="center" wrapText="0"/>
    </xf>
    <xf borderId="1" fillId="2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0" fillId="0" fontId="25" numFmtId="0" xfId="0" applyAlignment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bottom" wrapText="0"/>
    </xf>
    <xf borderId="1" fillId="2" fontId="26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0" fillId="0" fontId="13" numFmtId="0" xfId="0" applyAlignment="1" applyFont="1">
      <alignment horizontal="center" shrinkToFit="0" vertical="bottom" wrapText="1"/>
    </xf>
    <xf borderId="4" fillId="0" fontId="3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1"/>
    </xf>
    <xf borderId="1" fillId="2" fontId="27" numFmtId="0" xfId="0" applyAlignment="1" applyBorder="1" applyFont="1">
      <alignment horizontal="center" shrinkToFit="0" vertical="bottom" wrapText="0"/>
    </xf>
    <xf borderId="4" fillId="0" fontId="22" numFmtId="168" xfId="0" applyAlignment="1" applyBorder="1" applyFont="1" applyNumberFormat="1">
      <alignment horizontal="center" shrinkToFit="0" vertical="bottom" wrapText="0"/>
    </xf>
    <xf borderId="1" fillId="2" fontId="28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1"/>
    </xf>
    <xf borderId="0" fillId="2" fontId="23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right" shrinkToFit="0" vertical="bottom" wrapText="0"/>
    </xf>
    <xf borderId="8" fillId="2" fontId="7" numFmtId="0" xfId="0" applyAlignment="1" applyBorder="1" applyFont="1">
      <alignment shrinkToFit="0" vertical="bottom" wrapText="0"/>
    </xf>
    <xf borderId="9" fillId="0" fontId="2" numFmtId="0" xfId="0" applyBorder="1" applyFont="1"/>
    <xf borderId="10" fillId="0" fontId="2" numFmtId="0" xfId="0" applyBorder="1" applyFont="1"/>
    <xf borderId="0" fillId="0" fontId="20" numFmtId="164" xfId="0" applyAlignment="1" applyFont="1" applyNumberFormat="1">
      <alignment shrinkToFit="0" vertical="bottom" wrapText="0"/>
    </xf>
    <xf borderId="0" fillId="0" fontId="13" numFmtId="0" xfId="0" applyAlignment="1" applyFont="1">
      <alignment shrinkToFit="0" vertical="top" wrapText="1"/>
    </xf>
    <xf borderId="0" fillId="0" fontId="22" numFmtId="168" xfId="0" applyAlignment="1" applyFont="1" applyNumberFormat="1">
      <alignment shrinkToFit="0" vertical="bottom" wrapText="0"/>
    </xf>
    <xf borderId="0" fillId="0" fontId="3" numFmtId="168" xfId="0" applyAlignment="1" applyFont="1" applyNumberFormat="1">
      <alignment shrinkToFit="0" vertical="bottom" wrapText="0"/>
    </xf>
    <xf borderId="0" fillId="0" fontId="29" numFmtId="0" xfId="0" applyAlignment="1" applyFont="1">
      <alignment shrinkToFit="0" vertical="bottom" wrapText="0"/>
    </xf>
    <xf borderId="0" fillId="0" fontId="30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20" numFmtId="168" xfId="0" applyAlignment="1" applyFont="1" applyNumberFormat="1">
      <alignment shrinkToFit="0" vertical="bottom" wrapText="0"/>
    </xf>
    <xf borderId="0" fillId="0" fontId="22" numFmtId="169" xfId="0" applyAlignment="1" applyFont="1" applyNumberFormat="1">
      <alignment shrinkToFit="0" vertical="bottom" wrapText="0"/>
    </xf>
    <xf borderId="0" fillId="0" fontId="3" numFmtId="169" xfId="0" applyAlignment="1" applyFont="1" applyNumberFormat="1">
      <alignment shrinkToFit="0" vertical="bottom" wrapText="0"/>
    </xf>
    <xf borderId="0" fillId="0" fontId="13" numFmtId="0" xfId="0" applyAlignment="1" applyFont="1">
      <alignment horizontal="center" readingOrder="0" shrinkToFit="0" vertical="bottom" wrapText="0"/>
    </xf>
    <xf borderId="0" fillId="0" fontId="20" numFmtId="4" xfId="0" applyAlignment="1" applyFont="1" applyNumberFormat="1">
      <alignment shrinkToFit="0" vertical="bottom" wrapText="0"/>
    </xf>
    <xf borderId="0" fillId="0" fontId="31" numFmtId="0" xfId="0" applyAlignment="1" applyFont="1">
      <alignment shrinkToFit="0" vertical="bottom" wrapText="0"/>
    </xf>
    <xf borderId="0" fillId="0" fontId="32" numFmtId="0" xfId="0" applyAlignment="1" applyFont="1">
      <alignment shrinkToFit="0" vertical="top" wrapText="1"/>
    </xf>
    <xf borderId="0" fillId="0" fontId="20" numFmtId="164" xfId="0" applyAlignment="1" applyFont="1" applyNumberFormat="1">
      <alignment horizontal="center" shrinkToFit="0" vertical="center" wrapText="0"/>
    </xf>
    <xf borderId="0" fillId="0" fontId="20" numFmtId="1" xfId="0" applyAlignment="1" applyFont="1" applyNumberFormat="1">
      <alignment shrinkToFit="0" vertical="bottom" wrapText="0"/>
    </xf>
    <xf borderId="0" fillId="0" fontId="33" numFmtId="168" xfId="0" applyAlignment="1" applyFont="1" applyNumberFormat="1">
      <alignment shrinkToFit="0" vertical="bottom" wrapText="0"/>
    </xf>
    <xf borderId="8" fillId="2" fontId="23" numFmtId="0" xfId="0" applyAlignment="1" applyBorder="1" applyFont="1">
      <alignment horizontal="center" shrinkToFit="0" vertical="center" wrapText="1"/>
    </xf>
    <xf borderId="0" fillId="0" fontId="34" numFmtId="0" xfId="0" applyAlignment="1" applyFont="1">
      <alignment horizontal="right" shrinkToFit="0" vertical="bottom" wrapText="0"/>
    </xf>
    <xf borderId="8" fillId="2" fontId="35" numFmtId="0" xfId="0" applyAlignment="1" applyBorder="1" applyFont="1">
      <alignment shrinkToFit="0" vertical="bottom" wrapText="0"/>
    </xf>
    <xf borderId="0" fillId="0" fontId="36" numFmtId="0" xfId="0" applyAlignment="1" applyFont="1">
      <alignment shrinkToFit="0" vertical="top" wrapText="1"/>
    </xf>
    <xf borderId="0" fillId="0" fontId="22" numFmtId="1" xfId="0" applyAlignment="1" applyFont="1" applyNumberFormat="1">
      <alignment shrinkToFit="0" vertical="bottom" wrapText="0"/>
    </xf>
    <xf borderId="0" fillId="0" fontId="20" numFmtId="2" xfId="0" applyAlignment="1" applyFont="1" applyNumberFormat="1">
      <alignment shrinkToFit="0" vertical="bottom" wrapText="0"/>
    </xf>
    <xf borderId="0" fillId="0" fontId="3" numFmtId="170" xfId="0" applyAlignment="1" applyFont="1" applyNumberFormat="1">
      <alignment shrinkToFit="0" vertical="bottom" wrapText="0"/>
    </xf>
    <xf borderId="0" fillId="0" fontId="37" numFmtId="0" xfId="0" applyAlignment="1" applyFont="1">
      <alignment shrinkToFit="0" vertical="top" wrapText="1"/>
    </xf>
    <xf borderId="0" fillId="0" fontId="3" numFmtId="167" xfId="0" applyAlignment="1" applyFont="1" applyNumberFormat="1">
      <alignment shrinkToFit="0" vertical="bottom" wrapText="0"/>
    </xf>
    <xf borderId="0" fillId="0" fontId="20" numFmtId="167" xfId="0" applyAlignment="1" applyFont="1" applyNumberFormat="1">
      <alignment shrinkToFit="0" vertical="bottom" wrapText="0"/>
    </xf>
    <xf borderId="11" fillId="7" fontId="20" numFmtId="164" xfId="0" applyAlignment="1" applyBorder="1" applyFill="1" applyFont="1" applyNumberFormat="1">
      <alignment shrinkToFit="0" vertical="bottom" wrapText="0"/>
    </xf>
    <xf borderId="11" fillId="7" fontId="3" numFmtId="164" xfId="0" applyAlignment="1" applyBorder="1" applyFont="1" applyNumberFormat="1">
      <alignment shrinkToFit="0" vertical="bottom" wrapText="0"/>
    </xf>
    <xf borderId="11" fillId="2" fontId="38" numFmtId="167" xfId="0" applyAlignment="1" applyBorder="1" applyFont="1" applyNumberFormat="1">
      <alignment shrinkToFit="0" vertical="bottom" wrapText="0"/>
    </xf>
    <xf borderId="11" fillId="7" fontId="20" numFmtId="171" xfId="0" applyAlignment="1" applyBorder="1" applyFont="1" applyNumberFormat="1">
      <alignment shrinkToFit="0" vertical="bottom" wrapText="0"/>
    </xf>
    <xf borderId="0" fillId="0" fontId="39" numFmtId="167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3" xfId="0" applyAlignment="1" applyFont="1" applyNumberFormat="1">
      <alignment shrinkToFit="0" vertical="bottom" wrapText="0"/>
    </xf>
    <xf borderId="1" fillId="2" fontId="40" numFmtId="0" xfId="0" applyAlignment="1" applyBorder="1" applyFont="1">
      <alignment horizontal="center" shrinkToFit="0" vertical="center" wrapText="0"/>
    </xf>
    <xf borderId="5" fillId="3" fontId="19" numFmtId="0" xfId="0" applyAlignment="1" applyBorder="1" applyFont="1">
      <alignment horizontal="center" shrinkToFit="0" vertical="center" wrapText="1"/>
    </xf>
    <xf borderId="5" fillId="3" fontId="3" numFmtId="0" xfId="0" applyAlignment="1" applyBorder="1" applyFont="1">
      <alignment shrinkToFit="0" vertical="bottom" wrapText="0"/>
    </xf>
    <xf borderId="5" fillId="3" fontId="19" numFmtId="0" xfId="0" applyAlignment="1" applyBorder="1" applyFont="1">
      <alignment horizontal="center" readingOrder="0" shrinkToFit="0" vertical="center" wrapText="1"/>
    </xf>
    <xf borderId="12" fillId="0" fontId="41" numFmtId="167" xfId="0" applyAlignment="1" applyBorder="1" applyFont="1" applyNumberFormat="1">
      <alignment horizontal="center" shrinkToFit="0" vertical="center" wrapText="0"/>
    </xf>
    <xf borderId="13" fillId="0" fontId="3" numFmtId="0" xfId="0" applyAlignment="1" applyBorder="1" applyFont="1">
      <alignment shrinkToFit="0" vertical="bottom" wrapText="0"/>
    </xf>
    <xf borderId="13" fillId="0" fontId="42" numFmtId="167" xfId="0" applyAlignment="1" applyBorder="1" applyFont="1" applyNumberFormat="1">
      <alignment horizontal="center" shrinkToFit="0" vertical="center" wrapText="0"/>
    </xf>
    <xf borderId="13" fillId="0" fontId="43" numFmtId="164" xfId="0" applyAlignment="1" applyBorder="1" applyFont="1" applyNumberFormat="1">
      <alignment horizontal="center" shrinkToFit="0" vertical="center" wrapText="0"/>
    </xf>
    <xf borderId="13" fillId="0" fontId="41" numFmtId="3" xfId="0" applyAlignment="1" applyBorder="1" applyFont="1" applyNumberFormat="1">
      <alignment horizontal="center" shrinkToFit="0" vertical="center" wrapText="0"/>
    </xf>
    <xf borderId="14" fillId="0" fontId="3" numFmtId="0" xfId="0" applyAlignment="1" applyBorder="1" applyFont="1">
      <alignment shrinkToFit="0" vertical="bottom" wrapText="0"/>
    </xf>
    <xf borderId="15" fillId="0" fontId="3" numFmtId="167" xfId="0" applyAlignment="1" applyBorder="1" applyFont="1" applyNumberFormat="1">
      <alignment shrinkToFit="0" vertical="center" wrapText="0"/>
    </xf>
    <xf borderId="16" fillId="0" fontId="3" numFmtId="0" xfId="0" applyAlignment="1" applyBorder="1" applyFont="1">
      <alignment shrinkToFit="0" vertical="bottom" wrapText="0"/>
    </xf>
    <xf borderId="16" fillId="0" fontId="44" numFmtId="167" xfId="0" applyAlignment="1" applyBorder="1" applyFont="1" applyNumberFormat="1">
      <alignment shrinkToFit="0" vertical="center" wrapText="1"/>
    </xf>
    <xf borderId="16" fillId="0" fontId="2" numFmtId="0" xfId="0" applyBorder="1" applyFont="1"/>
    <xf borderId="16" fillId="0" fontId="45" numFmtId="0" xfId="0" applyAlignment="1" applyBorder="1" applyFont="1">
      <alignment shrinkToFit="0" vertical="center" wrapText="1"/>
    </xf>
    <xf borderId="17" fillId="0" fontId="2" numFmtId="0" xfId="0" applyBorder="1" applyFont="1"/>
    <xf borderId="15" fillId="2" fontId="7" numFmtId="0" xfId="0" applyAlignment="1" applyBorder="1" applyFont="1">
      <alignment readingOrder="0" shrinkToFit="0" vertical="center" wrapText="0"/>
    </xf>
    <xf borderId="4" fillId="3" fontId="7" numFmtId="0" xfId="0" applyAlignment="1" applyBorder="1" applyFont="1">
      <alignment horizontal="left" shrinkToFit="0" vertical="center" wrapText="0"/>
    </xf>
    <xf borderId="4" fillId="3" fontId="7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shrinkToFit="0" vertical="bottom" wrapText="0"/>
    </xf>
    <xf borderId="5" fillId="0" fontId="3" numFmtId="0" xfId="0" applyAlignment="1" applyBorder="1" applyFont="1">
      <alignment shrinkToFit="0" vertical="bottom" wrapText="0"/>
    </xf>
    <xf borderId="4" fillId="8" fontId="3" numFmtId="164" xfId="0" applyAlignment="1" applyBorder="1" applyFill="1" applyFont="1" applyNumberFormat="1">
      <alignment horizontal="center" shrinkToFit="0" vertical="center" wrapText="0"/>
    </xf>
    <xf borderId="4" fillId="9" fontId="3" numFmtId="164" xfId="0" applyAlignment="1" applyBorder="1" applyFill="1" applyFont="1" applyNumberFormat="1">
      <alignment horizontal="center" shrinkToFit="0" vertical="center" wrapText="0"/>
    </xf>
    <xf borderId="4" fillId="10" fontId="3" numFmtId="164" xfId="0" applyAlignment="1" applyBorder="1" applyFill="1" applyFont="1" applyNumberFormat="1">
      <alignment horizontal="center" shrinkToFit="0" vertical="center" wrapText="0"/>
    </xf>
    <xf borderId="12" fillId="0" fontId="3" numFmtId="0" xfId="0" applyAlignment="1" applyBorder="1" applyFont="1">
      <alignment shrinkToFit="0" vertical="bottom" wrapText="0"/>
    </xf>
    <xf borderId="13" fillId="0" fontId="2" numFmtId="0" xfId="0" applyBorder="1" applyFont="1"/>
    <xf borderId="14" fillId="0" fontId="2" numFmtId="0" xfId="0" applyBorder="1" applyFont="1"/>
    <xf borderId="4" fillId="4" fontId="3" numFmtId="0" xfId="0" applyAlignment="1" applyBorder="1" applyFont="1">
      <alignment shrinkToFit="0" vertical="center" wrapText="1"/>
    </xf>
    <xf borderId="18" fillId="0" fontId="2" numFmtId="0" xfId="0" applyBorder="1" applyFont="1"/>
    <xf borderId="19" fillId="0" fontId="2" numFmtId="0" xfId="0" applyBorder="1" applyFont="1"/>
    <xf borderId="4" fillId="8" fontId="3" numFmtId="167" xfId="0" applyAlignment="1" applyBorder="1" applyFont="1" applyNumberFormat="1">
      <alignment horizontal="center" readingOrder="0" shrinkToFit="0" vertical="center" wrapText="0"/>
    </xf>
    <xf borderId="4" fillId="9" fontId="3" numFmtId="167" xfId="0" applyAlignment="1" applyBorder="1" applyFont="1" applyNumberFormat="1">
      <alignment horizontal="center" readingOrder="0" shrinkToFit="0" vertical="center" wrapText="0"/>
    </xf>
    <xf borderId="4" fillId="10" fontId="3" numFmtId="167" xfId="0" applyAlignment="1" applyBorder="1" applyFont="1" applyNumberFormat="1">
      <alignment horizontal="center" readingOrder="0" shrinkToFit="0" vertical="center" wrapText="0"/>
    </xf>
    <xf borderId="4" fillId="4" fontId="3" numFmtId="0" xfId="0" applyAlignment="1" applyBorder="1" applyFont="1">
      <alignment shrinkToFit="0" vertical="center" wrapText="0"/>
    </xf>
    <xf borderId="4" fillId="11" fontId="3" numFmtId="164" xfId="0" applyAlignment="1" applyBorder="1" applyFill="1" applyFont="1" applyNumberFormat="1">
      <alignment horizontal="center" shrinkToFit="0" vertical="center" wrapText="0"/>
    </xf>
    <xf borderId="4" fillId="11" fontId="3" numFmtId="166" xfId="0" applyAlignment="1" applyBorder="1" applyFont="1" applyNumberFormat="1">
      <alignment horizontal="center" readingOrder="0" shrinkToFit="0" vertical="center" wrapText="0"/>
    </xf>
    <xf borderId="4" fillId="9" fontId="3" numFmtId="166" xfId="0" applyAlignment="1" applyBorder="1" applyFont="1" applyNumberFormat="1">
      <alignment horizontal="center" readingOrder="0" shrinkToFit="0" vertical="center" wrapText="0"/>
    </xf>
    <xf borderId="4" fillId="10" fontId="3" numFmtId="166" xfId="0" applyAlignment="1" applyBorder="1" applyFont="1" applyNumberFormat="1">
      <alignment horizontal="center" readingOrder="0" shrinkToFit="0" vertical="center" wrapText="0"/>
    </xf>
    <xf borderId="4" fillId="8" fontId="3" numFmtId="166" xfId="0" applyAlignment="1" applyBorder="1" applyFont="1" applyNumberFormat="1">
      <alignment horizontal="center" readingOrder="0" shrinkToFit="0" vertical="center" wrapText="0"/>
    </xf>
    <xf borderId="4" fillId="9" fontId="4" numFmtId="166" xfId="0" applyAlignment="1" applyBorder="1" applyFont="1" applyNumberFormat="1">
      <alignment horizontal="center" readingOrder="0" shrinkToFit="0" vertical="bottom" wrapText="0"/>
    </xf>
    <xf borderId="4" fillId="10" fontId="4" numFmtId="166" xfId="0" applyAlignment="1" applyBorder="1" applyFont="1" applyNumberFormat="1">
      <alignment horizontal="center" readingOrder="0" shrinkToFit="0" vertical="bottom" wrapText="0"/>
    </xf>
    <xf borderId="4" fillId="8" fontId="3" numFmtId="164" xfId="0" applyAlignment="1" applyBorder="1" applyFont="1" applyNumberFormat="1">
      <alignment horizontal="center" readingOrder="0" shrinkToFit="0" vertical="center" wrapText="0"/>
    </xf>
    <xf borderId="4" fillId="9" fontId="3" numFmtId="164" xfId="0" applyAlignment="1" applyBorder="1" applyFont="1" applyNumberFormat="1">
      <alignment horizontal="center" readingOrder="0" shrinkToFit="0" vertical="center" wrapText="0"/>
    </xf>
    <xf borderId="4" fillId="10" fontId="3" numFmtId="164" xfId="0" applyAlignment="1" applyBorder="1" applyFont="1" applyNumberFormat="1">
      <alignment horizontal="center" readingOrder="0" shrinkToFit="0" vertical="center" wrapText="0"/>
    </xf>
    <xf borderId="4" fillId="8" fontId="3" numFmtId="3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shrinkToFit="0" vertical="center" wrapText="1"/>
    </xf>
    <xf borderId="15" fillId="0" fontId="2" numFmtId="0" xfId="0" applyBorder="1" applyFont="1"/>
    <xf borderId="1" fillId="2" fontId="7" numFmtId="0" xfId="0" applyAlignment="1" applyBorder="1" applyFont="1">
      <alignment shrinkToFit="0" vertical="center" wrapText="0"/>
    </xf>
    <xf borderId="4" fillId="0" fontId="3" numFmtId="0" xfId="0" applyAlignment="1" applyBorder="1" applyFont="1">
      <alignment shrinkToFit="0" vertical="bottom" wrapText="0"/>
    </xf>
    <xf borderId="4" fillId="4" fontId="3" numFmtId="0" xfId="0" applyAlignment="1" applyBorder="1" applyFont="1">
      <alignment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12" fillId="2" fontId="7" numFmtId="0" xfId="0" applyAlignment="1" applyBorder="1" applyFont="1">
      <alignment shrinkToFit="0" vertical="center" wrapText="0"/>
    </xf>
    <xf borderId="12" fillId="0" fontId="3" numFmtId="0" xfId="0" applyAlignment="1" applyBorder="1" applyFont="1">
      <alignment shrinkToFit="0" vertical="center" wrapText="0"/>
    </xf>
    <xf borderId="13" fillId="0" fontId="3" numFmtId="0" xfId="0" applyAlignment="1" applyBorder="1" applyFont="1">
      <alignment shrinkToFit="0" vertical="center" wrapText="0"/>
    </xf>
    <xf borderId="13" fillId="0" fontId="46" numFmtId="164" xfId="0" applyAlignment="1" applyBorder="1" applyFont="1" applyNumberFormat="1">
      <alignment horizontal="center" shrinkToFit="0" vertical="center" wrapText="0"/>
    </xf>
    <xf borderId="14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0" fontId="46" numFmtId="171" xfId="0" applyAlignment="1" applyFont="1" applyNumberFormat="1">
      <alignment horizontal="center" shrinkToFit="0" vertical="center" wrapText="0"/>
    </xf>
    <xf borderId="0" fillId="0" fontId="46" numFmtId="168" xfId="0" applyAlignment="1" applyFont="1" applyNumberFormat="1">
      <alignment horizontal="center" shrinkToFit="0" vertical="center" wrapText="0"/>
    </xf>
    <xf borderId="19" fillId="0" fontId="3" numFmtId="0" xfId="0" applyAlignment="1" applyBorder="1" applyFont="1">
      <alignment shrinkToFit="0" vertical="center" wrapText="0"/>
    </xf>
    <xf borderId="0" fillId="0" fontId="46" numFmtId="164" xfId="0" applyAlignment="1" applyFont="1" applyNumberFormat="1">
      <alignment horizontal="center" shrinkToFit="0" vertical="center" wrapText="0"/>
    </xf>
    <xf borderId="0" fillId="0" fontId="46" numFmtId="1" xfId="0" applyAlignment="1" applyFont="1" applyNumberFormat="1">
      <alignment horizontal="center" shrinkToFit="0" vertical="center" wrapText="0"/>
    </xf>
    <xf borderId="15" fillId="0" fontId="3" numFmtId="0" xfId="0" applyAlignment="1" applyBorder="1" applyFont="1">
      <alignment shrinkToFit="0" vertical="center" wrapText="0"/>
    </xf>
    <xf borderId="16" fillId="0" fontId="3" numFmtId="0" xfId="0" applyAlignment="1" applyBorder="1" applyFont="1">
      <alignment shrinkToFit="0" vertical="center" wrapText="0"/>
    </xf>
    <xf borderId="16" fillId="0" fontId="46" numFmtId="164" xfId="0" applyAlignment="1" applyBorder="1" applyFont="1" applyNumberFormat="1">
      <alignment horizontal="center" shrinkToFit="0" vertical="center" wrapText="0"/>
    </xf>
    <xf borderId="16" fillId="0" fontId="46" numFmtId="1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shrinkToFit="0" vertical="center" wrapText="0"/>
    </xf>
    <xf borderId="0" fillId="0" fontId="47" numFmtId="0" xfId="0" applyAlignment="1" applyFont="1">
      <alignment shrinkToFit="0" vertical="top" wrapText="1"/>
    </xf>
    <xf borderId="0" fillId="0" fontId="3" numFmtId="171" xfId="0" applyAlignment="1" applyFont="1" applyNumberFormat="1">
      <alignment shrinkToFit="0" vertical="bottom" wrapText="0"/>
    </xf>
    <xf borderId="20" fillId="12" fontId="4" numFmtId="0" xfId="0" applyAlignment="1" applyBorder="1" applyFill="1" applyFont="1">
      <alignment shrinkToFit="0" vertical="bottom" wrapText="0"/>
    </xf>
    <xf borderId="21" fillId="12" fontId="48" numFmtId="0" xfId="0" applyAlignment="1" applyBorder="1" applyFont="1">
      <alignment horizontal="center" readingOrder="0" shrinkToFit="0" vertical="center" wrapText="0"/>
    </xf>
    <xf borderId="22" fillId="0" fontId="2" numFmtId="0" xfId="0" applyBorder="1" applyFont="1"/>
    <xf borderId="23" fillId="0" fontId="2" numFmtId="0" xfId="0" applyBorder="1" applyFont="1"/>
    <xf borderId="24" fillId="12" fontId="4" numFmtId="0" xfId="0" applyAlignment="1" applyBorder="1" applyFont="1">
      <alignment shrinkToFit="0" vertical="bottom" wrapText="0"/>
    </xf>
    <xf borderId="25" fillId="12" fontId="4" numFmtId="0" xfId="0" applyAlignment="1" applyBorder="1" applyFont="1">
      <alignment shrinkToFit="0" vertical="bottom" wrapText="0"/>
    </xf>
    <xf borderId="8" fillId="12" fontId="49" numFmtId="0" xfId="0" applyAlignment="1" applyBorder="1" applyFont="1">
      <alignment readingOrder="0" shrinkToFit="0" vertical="center" wrapText="0"/>
    </xf>
    <xf borderId="26" fillId="12" fontId="4" numFmtId="0" xfId="0" applyAlignment="1" applyBorder="1" applyFont="1">
      <alignment shrinkToFit="0" vertical="bottom" wrapText="0"/>
    </xf>
    <xf borderId="8" fillId="12" fontId="50" numFmtId="0" xfId="0" applyAlignment="1" applyBorder="1" applyFont="1">
      <alignment readingOrder="0" shrinkToFit="0" vertical="center" wrapText="0"/>
    </xf>
    <xf borderId="25" fillId="13" fontId="4" numFmtId="0" xfId="0" applyAlignment="1" applyBorder="1" applyFill="1" applyFont="1">
      <alignment shrinkToFit="0" vertical="bottom" wrapText="0"/>
    </xf>
    <xf borderId="27" fillId="13" fontId="4" numFmtId="0" xfId="0" applyAlignment="1" applyBorder="1" applyFont="1">
      <alignment shrinkToFit="0" vertical="bottom" wrapText="0"/>
    </xf>
    <xf borderId="26" fillId="13" fontId="4" numFmtId="0" xfId="0" applyAlignment="1" applyBorder="1" applyFont="1">
      <alignment shrinkToFit="0" vertical="bottom" wrapText="0"/>
    </xf>
    <xf borderId="28" fillId="13" fontId="4" numFmtId="0" xfId="0" applyAlignment="1" applyBorder="1" applyFont="1">
      <alignment shrinkToFit="0" vertical="bottom" wrapText="0"/>
    </xf>
    <xf borderId="1" fillId="14" fontId="51" numFmtId="0" xfId="0" applyAlignment="1" applyBorder="1" applyFill="1" applyFont="1">
      <alignment horizontal="left" readingOrder="0" shrinkToFit="0" vertical="center" wrapText="0"/>
    </xf>
    <xf borderId="29" fillId="13" fontId="4" numFmtId="0" xfId="0" applyAlignment="1" applyBorder="1" applyFont="1">
      <alignment shrinkToFit="0" vertical="bottom" wrapText="0"/>
    </xf>
    <xf borderId="4" fillId="15" fontId="8" numFmtId="0" xfId="0" applyAlignment="1" applyBorder="1" applyFill="1" applyFont="1">
      <alignment horizontal="left" shrinkToFit="0" vertical="center" wrapText="0"/>
    </xf>
    <xf borderId="4" fillId="16" fontId="7" numFmtId="0" xfId="0" applyAlignment="1" applyBorder="1" applyFill="1" applyFont="1">
      <alignment horizontal="center" shrinkToFit="0" vertical="center" wrapText="0"/>
    </xf>
    <xf borderId="4" fillId="17" fontId="7" numFmtId="0" xfId="0" applyAlignment="1" applyBorder="1" applyFill="1" applyFont="1">
      <alignment horizontal="center" shrinkToFit="0" vertical="center" wrapText="0"/>
    </xf>
    <xf borderId="4" fillId="18" fontId="7" numFmtId="0" xfId="0" applyAlignment="1" applyBorder="1" applyFill="1" applyFont="1">
      <alignment horizontal="center" shrinkToFit="0" vertical="center" wrapText="0"/>
    </xf>
    <xf borderId="4" fillId="15" fontId="52" numFmtId="0" xfId="0" applyAlignment="1" applyBorder="1" applyFont="1">
      <alignment horizontal="left" shrinkToFit="0" vertical="center" wrapText="0"/>
    </xf>
    <xf borderId="4" fillId="11" fontId="8" numFmtId="174" xfId="0" applyAlignment="1" applyBorder="1" applyFont="1" applyNumberFormat="1">
      <alignment horizontal="center" readingOrder="0" shrinkToFit="0" vertical="center" wrapText="0"/>
    </xf>
    <xf borderId="4" fillId="19" fontId="8" numFmtId="167" xfId="0" applyAlignment="1" applyBorder="1" applyFill="1" applyFont="1" applyNumberFormat="1">
      <alignment horizontal="center" readingOrder="0" shrinkToFit="0" vertical="center" wrapText="0"/>
    </xf>
    <xf borderId="4" fillId="9" fontId="8" numFmtId="167" xfId="0" applyAlignment="1" applyBorder="1" applyFont="1" applyNumberFormat="1">
      <alignment horizontal="center" shrinkToFit="0" vertical="center" wrapText="0"/>
    </xf>
    <xf borderId="4" fillId="15" fontId="52" numFmtId="0" xfId="0" applyAlignment="1" applyBorder="1" applyFont="1">
      <alignment horizontal="left" readingOrder="0" shrinkToFit="0" vertical="center" wrapText="0"/>
    </xf>
    <xf borderId="4" fillId="19" fontId="3" numFmtId="164" xfId="0" applyAlignment="1" applyBorder="1" applyFont="1" applyNumberFormat="1">
      <alignment horizontal="center" shrinkToFit="0" vertical="center" wrapText="0"/>
    </xf>
    <xf borderId="4" fillId="19" fontId="3" numFmtId="3" xfId="0" applyAlignment="1" applyBorder="1" applyFont="1" applyNumberFormat="1">
      <alignment horizontal="center" readingOrder="0" shrinkToFit="0" vertical="center" wrapText="0"/>
    </xf>
    <xf borderId="4" fillId="9" fontId="3" numFmtId="3" xfId="0" applyAlignment="1" applyBorder="1" applyFont="1" applyNumberFormat="1">
      <alignment horizontal="center" readingOrder="0" shrinkToFit="0" vertical="center" wrapText="0"/>
    </xf>
    <xf borderId="4" fillId="11" fontId="3" numFmtId="10" xfId="0" applyAlignment="1" applyBorder="1" applyFont="1" applyNumberFormat="1">
      <alignment horizontal="center" readingOrder="0" shrinkToFit="0" vertical="center" wrapText="0"/>
    </xf>
    <xf borderId="4" fillId="19" fontId="3" numFmtId="164" xfId="0" applyAlignment="1" applyBorder="1" applyFont="1" applyNumberFormat="1">
      <alignment horizontal="center" readingOrder="0" shrinkToFit="0" vertical="center" wrapText="0"/>
    </xf>
    <xf borderId="4" fillId="11" fontId="8" numFmtId="167" xfId="0" applyAlignment="1" applyBorder="1" applyFont="1" applyNumberFormat="1">
      <alignment horizontal="center" readingOrder="0" shrinkToFit="0" vertical="center" wrapText="0"/>
    </xf>
    <xf borderId="4" fillId="9" fontId="8" numFmtId="167" xfId="0" applyAlignment="1" applyBorder="1" applyFont="1" applyNumberFormat="1">
      <alignment horizontal="center" readingOrder="0" shrinkToFit="0" vertical="center" wrapText="0"/>
    </xf>
    <xf borderId="4" fillId="11" fontId="3" numFmtId="3" xfId="0" applyAlignment="1" applyBorder="1" applyFont="1" applyNumberFormat="1">
      <alignment horizontal="center" readingOrder="0" shrinkToFit="0" vertical="center" wrapText="0"/>
    </xf>
    <xf borderId="4" fillId="19" fontId="3" numFmtId="166" xfId="0" applyAlignment="1" applyBorder="1" applyFont="1" applyNumberFormat="1">
      <alignment horizontal="center" readingOrder="0" shrinkToFit="0" vertical="center" wrapText="0"/>
    </xf>
    <xf borderId="4" fillId="11" fontId="3" numFmtId="164" xfId="0" applyAlignment="1" applyBorder="1" applyFont="1" applyNumberFormat="1">
      <alignment horizontal="center" readingOrder="0" shrinkToFit="0" vertical="center" wrapText="0"/>
    </xf>
    <xf borderId="1" fillId="14" fontId="51" numFmtId="0" xfId="0" applyAlignment="1" applyBorder="1" applyFont="1">
      <alignment horizontal="left" shrinkToFit="0" vertical="center" wrapText="0"/>
    </xf>
    <xf borderId="4" fillId="11" fontId="52" numFmtId="0" xfId="0" applyAlignment="1" applyBorder="1" applyFont="1">
      <alignment horizontal="center" shrinkToFit="0" vertical="center" wrapText="0"/>
    </xf>
    <xf borderId="4" fillId="19" fontId="52" numFmtId="0" xfId="0" applyAlignment="1" applyBorder="1" applyFont="1">
      <alignment horizontal="center" shrinkToFit="0" vertical="center" wrapText="0"/>
    </xf>
    <xf borderId="4" fillId="9" fontId="52" numFmtId="0" xfId="0" applyAlignment="1" applyBorder="1" applyFont="1">
      <alignment horizontal="center" shrinkToFit="0" vertical="center" wrapText="0"/>
    </xf>
    <xf borderId="4" fillId="2" fontId="7" numFmtId="0" xfId="0" applyAlignment="1" applyBorder="1" applyFont="1">
      <alignment horizontal="left" shrinkToFit="0" vertical="center" wrapText="0"/>
    </xf>
    <xf borderId="4" fillId="2" fontId="7" numFmtId="0" xfId="0" applyAlignment="1" applyBorder="1" applyFont="1">
      <alignment horizontal="center" shrinkToFit="0" vertical="center" wrapText="0"/>
    </xf>
    <xf borderId="4" fillId="0" fontId="52" numFmtId="3" xfId="0" applyAlignment="1" applyBorder="1" applyFont="1" applyNumberFormat="1">
      <alignment horizontal="center" shrinkToFit="0" vertical="center" wrapText="0"/>
    </xf>
    <xf borderId="4" fillId="0" fontId="52" numFmtId="164" xfId="0" applyAlignment="1" applyBorder="1" applyFont="1" applyNumberFormat="1">
      <alignment horizontal="center" shrinkToFit="0" vertical="center" wrapText="0"/>
    </xf>
    <xf borderId="4" fillId="2" fontId="19" numFmtId="0" xfId="0" applyAlignment="1" applyBorder="1" applyFont="1">
      <alignment horizontal="center" shrinkToFit="0" vertical="center" wrapText="0"/>
    </xf>
    <xf borderId="4" fillId="2" fontId="53" numFmtId="164" xfId="0" applyAlignment="1" applyBorder="1" applyFont="1" applyNumberFormat="1">
      <alignment horizontal="center" shrinkToFit="0" vertical="center" wrapText="0"/>
    </xf>
    <xf borderId="4" fillId="2" fontId="19" numFmtId="164" xfId="0" applyAlignment="1" applyBorder="1" applyFont="1" applyNumberFormat="1">
      <alignment horizontal="center" shrinkToFit="0" vertical="center" wrapText="0"/>
    </xf>
    <xf borderId="4" fillId="0" fontId="52" numFmtId="167" xfId="0" applyAlignment="1" applyBorder="1" applyFont="1" applyNumberFormat="1">
      <alignment horizontal="center" shrinkToFit="0" vertical="center" wrapText="0"/>
    </xf>
    <xf borderId="4" fillId="20" fontId="19" numFmtId="167" xfId="0" applyAlignment="1" applyBorder="1" applyFill="1" applyFont="1" applyNumberFormat="1">
      <alignment horizontal="center" shrinkToFit="0" vertical="center" wrapText="0"/>
    </xf>
    <xf borderId="4" fillId="12" fontId="19" numFmtId="0" xfId="0" applyAlignment="1" applyBorder="1" applyFont="1">
      <alignment horizontal="center" shrinkToFit="0" vertical="center" wrapText="0"/>
    </xf>
    <xf borderId="4" fillId="15" fontId="52" numFmtId="3" xfId="0" applyAlignment="1" applyBorder="1" applyFont="1" applyNumberFormat="1">
      <alignment horizontal="center" shrinkToFit="0" vertical="center" wrapText="0"/>
    </xf>
    <xf borderId="4" fillId="15" fontId="52" numFmtId="164" xfId="0" applyAlignment="1" applyBorder="1" applyFont="1" applyNumberFormat="1">
      <alignment horizontal="center" shrinkToFit="0" vertical="center" wrapText="0"/>
    </xf>
    <xf borderId="4" fillId="14" fontId="51" numFmtId="0" xfId="0" applyAlignment="1" applyBorder="1" applyFont="1">
      <alignment horizontal="left" shrinkToFit="0" vertical="center" wrapText="0"/>
    </xf>
    <xf borderId="4" fillId="14" fontId="51" numFmtId="3" xfId="0" applyAlignment="1" applyBorder="1" applyFont="1" applyNumberFormat="1">
      <alignment horizontal="center" shrinkToFit="0" vertical="center" wrapText="0"/>
    </xf>
    <xf borderId="4" fillId="14" fontId="51" numFmtId="164" xfId="0" applyAlignment="1" applyBorder="1" applyFont="1" applyNumberFormat="1">
      <alignment horizontal="center" shrinkToFit="0" vertical="center" wrapText="0"/>
    </xf>
    <xf borderId="30" fillId="13" fontId="4" numFmtId="0" xfId="0" applyAlignment="1" applyBorder="1" applyFont="1">
      <alignment shrinkToFit="0" vertical="bottom" wrapText="0"/>
    </xf>
    <xf borderId="0" fillId="13" fontId="4" numFmtId="0" xfId="0" applyAlignment="1" applyFont="1">
      <alignment shrinkToFit="0" vertical="bottom" wrapText="0"/>
    </xf>
    <xf borderId="31" fillId="13" fontId="4" numFmtId="0" xfId="0" applyAlignment="1" applyBorder="1" applyFont="1">
      <alignment shrinkToFit="0" vertical="bottom" wrapText="0"/>
    </xf>
    <xf borderId="18" fillId="13" fontId="4" numFmtId="0" xfId="0" applyAlignment="1" applyBorder="1" applyFont="1">
      <alignment shrinkToFit="0" vertical="bottom" wrapText="0"/>
    </xf>
    <xf borderId="1" fillId="13" fontId="54" numFmtId="0" xfId="0" applyAlignment="1" applyBorder="1" applyFont="1">
      <alignment horizontal="center" readingOrder="0" shrinkToFit="0" vertical="center" wrapText="1"/>
    </xf>
    <xf borderId="19" fillId="13" fontId="4" numFmtId="0" xfId="0" applyAlignment="1" applyBorder="1" applyFont="1">
      <alignment shrinkToFit="0" vertical="bottom" wrapText="0"/>
    </xf>
    <xf borderId="15" fillId="13" fontId="4" numFmtId="0" xfId="0" applyAlignment="1" applyBorder="1" applyFont="1">
      <alignment shrinkToFit="0" vertical="bottom" wrapText="0"/>
    </xf>
    <xf borderId="16" fillId="13" fontId="4" numFmtId="0" xfId="0" applyAlignment="1" applyBorder="1" applyFont="1">
      <alignment shrinkToFit="0" vertical="bottom" wrapText="0"/>
    </xf>
    <xf borderId="17" fillId="13" fontId="4" numFmtId="0" xfId="0" applyAlignment="1" applyBorder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800">
                <a:solidFill>
                  <a:srgbClr val="757575"/>
                </a:solidFill>
                <a:latin typeface="Calibri"/>
              </a:defRPr>
            </a:pPr>
            <a:r>
              <a:rPr b="0" i="0" sz="1800">
                <a:solidFill>
                  <a:srgbClr val="757575"/>
                </a:solidFill>
                <a:latin typeface="Calibri"/>
              </a:rPr>
              <a:t>Total Revenue ($M) vs. Years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cat>
            <c:strRef>
              <c:f>Dashboard!$D$22:$I$22</c:f>
            </c:strRef>
          </c:cat>
          <c:val>
            <c:numRef>
              <c:f>Dashboard!$D$23:$I$23</c:f>
              <c:numCache/>
            </c:numRef>
          </c:val>
        </c:ser>
        <c:axId val="1486152356"/>
        <c:axId val="602467556"/>
      </c:barChart>
      <c:catAx>
        <c:axId val="14861523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Calibri"/>
                  </a:rPr>
                  <a:t>Years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02467556"/>
      </c:catAx>
      <c:valAx>
        <c:axId val="6024675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Calibri"/>
                  </a:rPr>
                  <a:t>Total Revenue ($M)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8615235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800">
                <a:solidFill>
                  <a:srgbClr val="757575"/>
                </a:solidFill>
                <a:latin typeface="Calibri"/>
              </a:defRPr>
            </a:pPr>
            <a:r>
              <a:rPr b="0" i="0" sz="1800">
                <a:solidFill>
                  <a:srgbClr val="757575"/>
                </a:solidFill>
                <a:latin typeface="Calibri"/>
              </a:rPr>
              <a:t>Total Revenue ($M), Adj.EBITDA ($M), Space Revenue ($M), Connectivity Rev ($M) and AI Revenue ($M)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Total Revenue ($M)</c:v>
          </c:tx>
          <c:spPr>
            <a:solidFill>
              <a:srgbClr val="4F81BD"/>
            </a:solidFill>
            <a:ln cmpd="sng">
              <a:noFill/>
            </a:ln>
          </c:spPr>
          <c:cat>
            <c:strRef>
              <c:f>Dashboard!$B$22:$I$22</c:f>
            </c:strRef>
          </c:cat>
          <c:val>
            <c:numRef>
              <c:f>Dashboard!$B$23:$I$23</c:f>
              <c:numCache/>
            </c:numRef>
          </c:val>
        </c:ser>
        <c:ser>
          <c:idx val="1"/>
          <c:order val="1"/>
          <c:tx>
            <c:v>Adj.EBITDA ($M)</c:v>
          </c:tx>
          <c:spPr>
            <a:solidFill>
              <a:srgbClr val="C0504D"/>
            </a:solidFill>
            <a:ln cmpd="sng">
              <a:noFill/>
            </a:ln>
          </c:spPr>
          <c:cat>
            <c:strRef>
              <c:f>Dashboard!$B$22:$I$22</c:f>
            </c:strRef>
          </c:cat>
          <c:val>
            <c:numRef>
              <c:f>Dashboard!$B$24:$I$24</c:f>
              <c:numCache/>
            </c:numRef>
          </c:val>
        </c:ser>
        <c:ser>
          <c:idx val="2"/>
          <c:order val="2"/>
          <c:tx>
            <c:v>Space Revenue ($M)</c:v>
          </c:tx>
          <c:spPr>
            <a:solidFill>
              <a:srgbClr val="9BBB59"/>
            </a:solidFill>
            <a:ln cmpd="sng">
              <a:noFill/>
            </a:ln>
          </c:spPr>
          <c:cat>
            <c:strRef>
              <c:f>Dashboard!$B$22:$I$22</c:f>
            </c:strRef>
          </c:cat>
          <c:val>
            <c:numRef>
              <c:f>Dashboard!$B$25:$I$25</c:f>
              <c:numCache/>
            </c:numRef>
          </c:val>
        </c:ser>
        <c:ser>
          <c:idx val="3"/>
          <c:order val="3"/>
          <c:tx>
            <c:v>Connectivity Rev ($M)</c:v>
          </c:tx>
          <c:spPr>
            <a:solidFill>
              <a:srgbClr val="8064A2"/>
            </a:solidFill>
            <a:ln cmpd="sng">
              <a:noFill/>
            </a:ln>
          </c:spPr>
          <c:cat>
            <c:strRef>
              <c:f>Dashboard!$B$22:$I$22</c:f>
            </c:strRef>
          </c:cat>
          <c:val>
            <c:numRef>
              <c:f>Dashboard!$B$26:$I$26</c:f>
              <c:numCache/>
            </c:numRef>
          </c:val>
        </c:ser>
        <c:ser>
          <c:idx val="4"/>
          <c:order val="4"/>
          <c:tx>
            <c:v>AI Revenue ($M)</c:v>
          </c:tx>
          <c:spPr>
            <a:solidFill>
              <a:srgbClr val="4BACC6"/>
            </a:solidFill>
            <a:ln cmpd="sng">
              <a:noFill/>
            </a:ln>
          </c:spPr>
          <c:cat>
            <c:strRef>
              <c:f>Dashboard!$B$22:$I$22</c:f>
            </c:strRef>
          </c:cat>
          <c:val>
            <c:numRef>
              <c:f>Dashboard!$B$27:$I$27</c:f>
              <c:numCache/>
            </c:numRef>
          </c:val>
        </c:ser>
        <c:axId val="199988913"/>
        <c:axId val="1411306335"/>
      </c:barChart>
      <c:catAx>
        <c:axId val="1999889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Calibri"/>
                  </a:rPr>
                  <a:t>Metric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411306335"/>
      </c:catAx>
      <c:valAx>
        <c:axId val="1411306335"/>
        <c:scaling>
          <c:orientation val="minMax"/>
          <c:max val="70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Calibri"/>
                  </a:rPr>
                  <a:t>None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998891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36</xdr:row>
      <xdr:rowOff>76200</xdr:rowOff>
    </xdr:from>
    <xdr:ext cx="5514975" cy="3362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485775</xdr:colOff>
      <xdr:row>36</xdr:row>
      <xdr:rowOff>76200</xdr:rowOff>
    </xdr:from>
    <xdr:ext cx="5895975" cy="33623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spcx_dcf_model.xlsx/" TargetMode="External"/><Relationship Id="rId2" Type="http://schemas.openxmlformats.org/officeDocument/2006/relationships/hyperlink" Target="http://spcx_dcf_model.xlsx/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8.0"/>
    <col customWidth="1" min="3" max="3" width="12.14"/>
    <col customWidth="1" min="4" max="6" width="8.71"/>
  </cols>
  <sheetData>
    <row r="1" ht="39.75" customHeight="1">
      <c r="A1" s="1" t="s">
        <v>0</v>
      </c>
      <c r="B1" s="2"/>
      <c r="C1" s="3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24.0" customHeight="1">
      <c r="A2" s="6" t="s">
        <v>1</v>
      </c>
      <c r="B2" s="7"/>
      <c r="C2" s="7"/>
      <c r="D2" s="4"/>
      <c r="E2" s="4"/>
      <c r="F2" s="4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19.5" customHeight="1">
      <c r="A3" s="8" t="s">
        <v>2</v>
      </c>
      <c r="B3" s="7"/>
      <c r="C3" s="7"/>
      <c r="D3" s="4"/>
      <c r="E3" s="4"/>
      <c r="F3" s="4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ht="7.5" customHeight="1">
      <c r="A4" s="9"/>
      <c r="B4" s="9"/>
      <c r="C4" s="9"/>
      <c r="D4" s="10"/>
      <c r="E4" s="10"/>
      <c r="F4" s="4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ht="15.0" customHeight="1">
      <c r="A5" s="11"/>
      <c r="B5" s="2"/>
      <c r="C5" s="3"/>
      <c r="D5" s="4"/>
      <c r="E5" s="4"/>
      <c r="F5" s="4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ht="18.0" customHeight="1">
      <c r="A6" s="12" t="s">
        <v>3</v>
      </c>
      <c r="B6" s="13" t="s">
        <v>4</v>
      </c>
      <c r="C6" s="3"/>
      <c r="D6" s="4"/>
      <c r="E6" s="4"/>
      <c r="F6" s="4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ht="18.0" customHeight="1">
      <c r="A7" s="14" t="s">
        <v>5</v>
      </c>
      <c r="B7" s="15" t="s">
        <v>6</v>
      </c>
      <c r="C7" s="3"/>
      <c r="D7" s="4"/>
      <c r="E7" s="4"/>
      <c r="F7" s="4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ht="18.0" customHeight="1">
      <c r="A8" s="16" t="s">
        <v>7</v>
      </c>
      <c r="B8" s="17" t="s">
        <v>8</v>
      </c>
      <c r="C8" s="3"/>
      <c r="D8" s="4"/>
      <c r="E8" s="4"/>
      <c r="F8" s="4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ht="18.0" customHeight="1">
      <c r="A9" s="14" t="s">
        <v>9</v>
      </c>
      <c r="B9" s="15" t="s">
        <v>10</v>
      </c>
      <c r="C9" s="3"/>
      <c r="D9" s="4"/>
      <c r="E9" s="4"/>
      <c r="F9" s="4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ht="18.0" customHeight="1">
      <c r="A10" s="16" t="s">
        <v>11</v>
      </c>
      <c r="B10" s="17" t="s">
        <v>12</v>
      </c>
      <c r="C10" s="3"/>
      <c r="D10" s="4"/>
      <c r="E10" s="4"/>
      <c r="F10" s="4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ht="18.0" customHeight="1">
      <c r="A11" s="14" t="s">
        <v>13</v>
      </c>
      <c r="B11" s="18" t="s">
        <v>14</v>
      </c>
      <c r="C11" s="3"/>
      <c r="D11" s="4"/>
      <c r="E11" s="4"/>
      <c r="F11" s="4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8.0" customHeight="1">
      <c r="A12" s="16" t="s">
        <v>15</v>
      </c>
      <c r="B12" s="17" t="s">
        <v>16</v>
      </c>
      <c r="C12" s="3"/>
      <c r="D12" s="4"/>
      <c r="E12" s="4"/>
      <c r="F12" s="4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8.0" customHeight="1">
      <c r="A13" s="14" t="s">
        <v>17</v>
      </c>
      <c r="B13" s="15" t="s">
        <v>18</v>
      </c>
      <c r="C13" s="3"/>
      <c r="D13" s="4"/>
      <c r="E13" s="4"/>
      <c r="F13" s="4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8.0" customHeight="1">
      <c r="A14" s="19" t="s">
        <v>19</v>
      </c>
      <c r="B14" s="17" t="s">
        <v>20</v>
      </c>
      <c r="C14" s="3"/>
      <c r="D14" s="4"/>
      <c r="E14" s="4"/>
      <c r="F14" s="4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ht="18.0" customHeight="1">
      <c r="A15" s="20" t="s">
        <v>21</v>
      </c>
      <c r="B15" s="15" t="s">
        <v>22</v>
      </c>
      <c r="C15" s="3"/>
      <c r="D15" s="4"/>
      <c r="E15" s="4"/>
      <c r="F15" s="4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ht="19.5" customHeight="1">
      <c r="A16" s="12" t="s">
        <v>23</v>
      </c>
      <c r="B16" s="21"/>
      <c r="C16" s="21"/>
      <c r="D16" s="4"/>
      <c r="E16" s="4"/>
      <c r="F16" s="4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ht="16.5" customHeight="1">
      <c r="A17" s="22" t="s">
        <v>24</v>
      </c>
      <c r="B17" s="17" t="s">
        <v>25</v>
      </c>
      <c r="C17" s="3"/>
      <c r="D17" s="4"/>
      <c r="E17" s="4"/>
      <c r="F17" s="4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ht="16.5" customHeight="1">
      <c r="A18" s="23" t="s">
        <v>26</v>
      </c>
      <c r="B18" s="18" t="s">
        <v>27</v>
      </c>
      <c r="C18" s="3"/>
      <c r="D18" s="4"/>
      <c r="E18" s="4"/>
      <c r="F18" s="4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ht="16.5" customHeight="1">
      <c r="A19" s="16" t="s">
        <v>28</v>
      </c>
      <c r="B19" s="17" t="s">
        <v>29</v>
      </c>
      <c r="C19" s="3"/>
      <c r="D19" s="4"/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ht="15.75" customHeight="1">
      <c r="A20" s="4"/>
      <c r="B20" s="4"/>
      <c r="C20" s="4"/>
      <c r="D20" s="4"/>
      <c r="E20" s="4"/>
      <c r="F20" s="4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ht="15.0" customHeight="1">
      <c r="A21" s="24"/>
      <c r="B21" s="4"/>
      <c r="C21" s="4"/>
      <c r="D21" s="4"/>
      <c r="E21" s="4"/>
      <c r="F21" s="4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ht="15.75" customHeight="1">
      <c r="A22" s="4"/>
      <c r="B22" s="4"/>
      <c r="C22" s="4"/>
      <c r="D22" s="4"/>
      <c r="E22" s="4"/>
      <c r="F22" s="4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ht="15.75" customHeight="1">
      <c r="A23" s="4"/>
      <c r="B23" s="4"/>
      <c r="C23" s="4"/>
      <c r="D23" s="4"/>
      <c r="E23" s="4"/>
      <c r="F23" s="4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ht="15.75" customHeight="1">
      <c r="A24" s="4"/>
      <c r="B24" s="4"/>
      <c r="C24" s="4"/>
      <c r="D24" s="4"/>
      <c r="E24" s="4"/>
      <c r="F24" s="4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ht="15.75" customHeight="1">
      <c r="A25" s="4"/>
      <c r="B25" s="4"/>
      <c r="C25" s="4"/>
      <c r="D25" s="4"/>
      <c r="E25" s="4"/>
      <c r="F25" s="4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ht="15.75" customHeight="1">
      <c r="A220" s="5"/>
      <c r="B220" s="5"/>
      <c r="C220" s="5"/>
      <c r="D220" s="5"/>
      <c r="E220" s="5"/>
      <c r="F220" s="5"/>
    </row>
    <row r="221" ht="15.75" customHeight="1">
      <c r="A221" s="5"/>
      <c r="B221" s="5"/>
      <c r="C221" s="5"/>
      <c r="D221" s="5"/>
      <c r="E221" s="5"/>
      <c r="F221" s="5"/>
    </row>
    <row r="222" ht="15.75" customHeight="1">
      <c r="A222" s="5"/>
      <c r="B222" s="5"/>
      <c r="C222" s="5"/>
      <c r="D222" s="5"/>
      <c r="E222" s="5"/>
      <c r="F222" s="5"/>
    </row>
    <row r="223" ht="15.75" customHeight="1">
      <c r="A223" s="5"/>
      <c r="B223" s="5"/>
      <c r="C223" s="5"/>
      <c r="D223" s="5"/>
      <c r="E223" s="5"/>
      <c r="F223" s="5"/>
    </row>
    <row r="224" ht="15.75" customHeight="1">
      <c r="A224" s="5"/>
      <c r="B224" s="5"/>
      <c r="C224" s="5"/>
      <c r="D224" s="5"/>
      <c r="E224" s="5"/>
      <c r="F224" s="5"/>
    </row>
    <row r="225" ht="15.75" customHeight="1">
      <c r="A225" s="5"/>
      <c r="B225" s="5"/>
      <c r="C225" s="5"/>
      <c r="D225" s="5"/>
      <c r="E225" s="5"/>
      <c r="F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</sheetData>
  <mergeCells count="15">
    <mergeCell ref="B11:C11"/>
    <mergeCell ref="B12:C12"/>
    <mergeCell ref="B13:C13"/>
    <mergeCell ref="B14:C14"/>
    <mergeCell ref="B15:C15"/>
    <mergeCell ref="B17:C17"/>
    <mergeCell ref="B18:C18"/>
    <mergeCell ref="B19:C19"/>
    <mergeCell ref="A1:C1"/>
    <mergeCell ref="A5:C5"/>
    <mergeCell ref="B6:C6"/>
    <mergeCell ref="B7:C7"/>
    <mergeCell ref="B8:C8"/>
    <mergeCell ref="B9:C9"/>
    <mergeCell ref="B10:C10"/>
  </mergeCells>
  <hyperlinks>
    <hyperlink r:id="rId1" location="'Control'!A1" ref="A14"/>
    <hyperlink r:id="rId2" location="'Input'!A1" ref="A15"/>
  </hyperlinks>
  <printOptions/>
  <pageMargins bottom="1.0" footer="0.0" header="0.0" left="0.75" right="0.75" top="1.0"/>
  <pageSetup paperSize="9" orientation="portrait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47.57"/>
    <col customWidth="1" min="2" max="4" width="11.0"/>
    <col customWidth="1" min="5" max="5" width="13.0"/>
    <col customWidth="1" min="6" max="6" width="62.0"/>
  </cols>
  <sheetData>
    <row r="1" ht="7.5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33.75" customHeight="1">
      <c r="A2" s="25" t="s">
        <v>30</v>
      </c>
      <c r="B2" s="2"/>
      <c r="C2" s="2"/>
      <c r="D2" s="2"/>
      <c r="E2" s="2"/>
      <c r="F2" s="3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ht="18.0" customHeight="1">
      <c r="A3" s="26" t="s">
        <v>31</v>
      </c>
      <c r="B3" s="2"/>
      <c r="C3" s="2"/>
      <c r="D3" s="2"/>
      <c r="E3" s="2"/>
      <c r="F3" s="3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ht="25.5" customHeight="1">
      <c r="A4" s="27" t="s">
        <v>32</v>
      </c>
      <c r="B4" s="28">
        <v>2.0</v>
      </c>
      <c r="C4" s="29" t="s">
        <v>33</v>
      </c>
      <c r="D4" s="30"/>
      <c r="E4" s="30"/>
      <c r="F4" s="30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ht="21.75" customHeight="1">
      <c r="A5" s="31" t="s">
        <v>34</v>
      </c>
      <c r="B5" s="32" t="s">
        <v>35</v>
      </c>
      <c r="C5" s="32" t="s">
        <v>36</v>
      </c>
      <c r="D5" s="32" t="s">
        <v>37</v>
      </c>
      <c r="E5" s="32" t="s">
        <v>38</v>
      </c>
      <c r="F5" s="32" t="s">
        <v>39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ht="18.0" customHeight="1">
      <c r="A6" s="33" t="s">
        <v>40</v>
      </c>
      <c r="B6" s="34"/>
      <c r="C6" s="34"/>
      <c r="D6" s="34"/>
      <c r="E6" s="34"/>
      <c r="F6" s="34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ht="41.25" customHeight="1">
      <c r="A7" s="35" t="s">
        <v>41</v>
      </c>
      <c r="B7" s="36">
        <v>0.0</v>
      </c>
      <c r="C7" s="36">
        <v>0.08</v>
      </c>
      <c r="D7" s="36">
        <v>0.15</v>
      </c>
      <c r="E7" s="37">
        <f t="shared" ref="E7:E12" si="1">CHOOSE($B$4,B7,C7,D7)</f>
        <v>0.08</v>
      </c>
      <c r="F7" s="38" t="s">
        <v>42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ht="39.0" customHeight="1">
      <c r="A8" s="35" t="s">
        <v>43</v>
      </c>
      <c r="B8" s="36">
        <v>0.05</v>
      </c>
      <c r="C8" s="36">
        <v>0.12</v>
      </c>
      <c r="D8" s="36">
        <v>0.2</v>
      </c>
      <c r="E8" s="37">
        <f t="shared" si="1"/>
        <v>0.12</v>
      </c>
      <c r="F8" s="38" t="s">
        <v>44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ht="38.25" customHeight="1">
      <c r="A9" s="35" t="s">
        <v>45</v>
      </c>
      <c r="B9" s="36">
        <v>0.2</v>
      </c>
      <c r="C9" s="36">
        <v>0.35</v>
      </c>
      <c r="D9" s="36">
        <v>0.45</v>
      </c>
      <c r="E9" s="37">
        <f t="shared" si="1"/>
        <v>0.35</v>
      </c>
      <c r="F9" s="38" t="s">
        <v>46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ht="30.0" customHeight="1">
      <c r="A10" s="35" t="s">
        <v>47</v>
      </c>
      <c r="B10" s="36">
        <v>0.08</v>
      </c>
      <c r="C10" s="36">
        <v>0.15</v>
      </c>
      <c r="D10" s="36">
        <v>0.22</v>
      </c>
      <c r="E10" s="37">
        <f t="shared" si="1"/>
        <v>0.15</v>
      </c>
      <c r="F10" s="38" t="s">
        <v>48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ht="37.5" customHeight="1">
      <c r="A11" s="35" t="s">
        <v>49</v>
      </c>
      <c r="B11" s="36">
        <v>0.45</v>
      </c>
      <c r="C11" s="36">
        <v>0.7</v>
      </c>
      <c r="D11" s="36">
        <v>0.85</v>
      </c>
      <c r="E11" s="37">
        <f t="shared" si="1"/>
        <v>0.7</v>
      </c>
      <c r="F11" s="38" t="s">
        <v>50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ht="37.5" customHeight="1">
      <c r="A12" s="35" t="s">
        <v>51</v>
      </c>
      <c r="B12" s="36">
        <v>0.12</v>
      </c>
      <c r="C12" s="36">
        <v>0.25</v>
      </c>
      <c r="D12" s="36">
        <v>0.35</v>
      </c>
      <c r="E12" s="37">
        <f t="shared" si="1"/>
        <v>0.25</v>
      </c>
      <c r="F12" s="38" t="s">
        <v>52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ht="18.0" customHeight="1">
      <c r="A13" s="33" t="s">
        <v>53</v>
      </c>
      <c r="B13" s="34"/>
      <c r="C13" s="34"/>
      <c r="D13" s="34"/>
      <c r="E13" s="34"/>
      <c r="F13" s="3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ht="30.0" customHeight="1">
      <c r="A14" s="35" t="s">
        <v>54</v>
      </c>
      <c r="B14" s="36">
        <v>0.08</v>
      </c>
      <c r="C14" s="36">
        <v>0.18</v>
      </c>
      <c r="D14" s="36">
        <v>0.24</v>
      </c>
      <c r="E14" s="37">
        <f t="shared" ref="E14:E19" si="2">CHOOSE($B$4,B14,C14,D14)</f>
        <v>0.18</v>
      </c>
      <c r="F14" s="40" t="s">
        <v>55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ht="30.0" customHeight="1">
      <c r="A15" s="35" t="s">
        <v>56</v>
      </c>
      <c r="B15" s="36">
        <v>0.14</v>
      </c>
      <c r="C15" s="36">
        <v>0.24</v>
      </c>
      <c r="D15" s="36">
        <v>0.3</v>
      </c>
      <c r="E15" s="37">
        <f t="shared" si="2"/>
        <v>0.24</v>
      </c>
      <c r="F15" s="41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ht="30.0" customHeight="1">
      <c r="A16" s="35" t="s">
        <v>57</v>
      </c>
      <c r="B16" s="36">
        <v>0.58</v>
      </c>
      <c r="C16" s="36">
        <v>0.64</v>
      </c>
      <c r="D16" s="36">
        <v>0.66</v>
      </c>
      <c r="E16" s="37">
        <f t="shared" si="2"/>
        <v>0.64</v>
      </c>
      <c r="F16" s="40" t="s">
        <v>58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ht="30.0" customHeight="1">
      <c r="A17" s="35" t="s">
        <v>59</v>
      </c>
      <c r="B17" s="36">
        <v>0.62</v>
      </c>
      <c r="C17" s="36">
        <v>0.68</v>
      </c>
      <c r="D17" s="36">
        <v>0.72</v>
      </c>
      <c r="E17" s="37">
        <f t="shared" si="2"/>
        <v>0.68</v>
      </c>
      <c r="F17" s="41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ht="30.0" customHeight="1">
      <c r="A18" s="35" t="s">
        <v>60</v>
      </c>
      <c r="B18" s="36">
        <v>-0.45</v>
      </c>
      <c r="C18" s="36">
        <v>-0.2</v>
      </c>
      <c r="D18" s="36">
        <v>-0.05</v>
      </c>
      <c r="E18" s="37">
        <f t="shared" si="2"/>
        <v>-0.2</v>
      </c>
      <c r="F18" s="40" t="s">
        <v>61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ht="30.0" customHeight="1">
      <c r="A19" s="35" t="s">
        <v>62</v>
      </c>
      <c r="B19" s="36">
        <v>0.05</v>
      </c>
      <c r="C19" s="36">
        <v>0.28</v>
      </c>
      <c r="D19" s="36">
        <v>0.38</v>
      </c>
      <c r="E19" s="37">
        <f t="shared" si="2"/>
        <v>0.28</v>
      </c>
      <c r="F19" s="41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ht="18.0" customHeight="1">
      <c r="A20" s="33" t="s">
        <v>63</v>
      </c>
      <c r="B20" s="34"/>
      <c r="C20" s="34"/>
      <c r="D20" s="34"/>
      <c r="E20" s="34"/>
      <c r="F20" s="39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ht="30.0" customHeight="1">
      <c r="A21" s="35" t="s">
        <v>64</v>
      </c>
      <c r="B21" s="36">
        <v>1.0</v>
      </c>
      <c r="C21" s="36">
        <v>0.85</v>
      </c>
      <c r="D21" s="36">
        <v>0.7</v>
      </c>
      <c r="E21" s="37">
        <f t="shared" ref="E21:E26" si="3">CHOOSE($B$4,B21,C21,D21)</f>
        <v>0.85</v>
      </c>
      <c r="F21" s="40" t="s">
        <v>65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ht="30.0" customHeight="1">
      <c r="A22" s="35" t="s">
        <v>66</v>
      </c>
      <c r="B22" s="36">
        <v>0.55</v>
      </c>
      <c r="C22" s="36">
        <v>0.35</v>
      </c>
      <c r="D22" s="36">
        <v>0.2</v>
      </c>
      <c r="E22" s="37">
        <f t="shared" si="3"/>
        <v>0.35</v>
      </c>
      <c r="F22" s="41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ht="30.0" customHeight="1">
      <c r="A23" s="35" t="s">
        <v>67</v>
      </c>
      <c r="B23" s="36">
        <v>0.42</v>
      </c>
      <c r="C23" s="36">
        <v>0.33</v>
      </c>
      <c r="D23" s="36">
        <v>0.25</v>
      </c>
      <c r="E23" s="37">
        <f t="shared" si="3"/>
        <v>0.33</v>
      </c>
      <c r="F23" s="40" t="s">
        <v>68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ht="30.0" customHeight="1">
      <c r="A24" s="35" t="s">
        <v>69</v>
      </c>
      <c r="B24" s="36">
        <v>0.24</v>
      </c>
      <c r="C24" s="36">
        <v>0.15</v>
      </c>
      <c r="D24" s="36">
        <v>0.1</v>
      </c>
      <c r="E24" s="37">
        <f t="shared" si="3"/>
        <v>0.15</v>
      </c>
      <c r="F24" s="41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ht="33.75" customHeight="1">
      <c r="A25" s="35" t="s">
        <v>70</v>
      </c>
      <c r="B25" s="42">
        <v>2.5</v>
      </c>
      <c r="C25" s="42">
        <v>2.0</v>
      </c>
      <c r="D25" s="36">
        <v>1.5</v>
      </c>
      <c r="E25" s="37">
        <f t="shared" si="3"/>
        <v>2</v>
      </c>
      <c r="F25" s="40" t="s">
        <v>71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ht="30.0" customHeight="1">
      <c r="A26" s="35" t="s">
        <v>72</v>
      </c>
      <c r="B26" s="36">
        <v>0.6</v>
      </c>
      <c r="C26" s="36">
        <v>0.5</v>
      </c>
      <c r="D26" s="36">
        <v>0.28</v>
      </c>
      <c r="E26" s="37">
        <f t="shared" si="3"/>
        <v>0.5</v>
      </c>
      <c r="F26" s="41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ht="18.0" customHeight="1">
      <c r="A27" s="33" t="s">
        <v>73</v>
      </c>
      <c r="B27" s="34"/>
      <c r="C27" s="34"/>
      <c r="D27" s="34"/>
      <c r="E27" s="34"/>
      <c r="F27" s="39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ht="30.0" customHeight="1">
      <c r="A28" s="35" t="s">
        <v>74</v>
      </c>
      <c r="B28" s="43">
        <v>15.0</v>
      </c>
      <c r="C28" s="43">
        <v>18.0</v>
      </c>
      <c r="D28" s="43">
        <v>22.0</v>
      </c>
      <c r="E28" s="44">
        <f t="shared" ref="E28:E30" si="4">CHOOSE($B$4,B28,C28,D28)</f>
        <v>18</v>
      </c>
      <c r="F28" s="38" t="s">
        <v>75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ht="36.75" customHeight="1">
      <c r="A29" s="35" t="s">
        <v>76</v>
      </c>
      <c r="B29" s="43">
        <v>5.0</v>
      </c>
      <c r="C29" s="43">
        <v>6.0</v>
      </c>
      <c r="D29" s="43">
        <v>8.0</v>
      </c>
      <c r="E29" s="44">
        <f t="shared" si="4"/>
        <v>6</v>
      </c>
      <c r="F29" s="38" t="s">
        <v>77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ht="30.0" customHeight="1">
      <c r="A30" s="35" t="s">
        <v>78</v>
      </c>
      <c r="B30" s="43">
        <v>5.0</v>
      </c>
      <c r="C30" s="43">
        <v>4.0</v>
      </c>
      <c r="D30" s="43">
        <v>3.0</v>
      </c>
      <c r="E30" s="44">
        <f t="shared" si="4"/>
        <v>4</v>
      </c>
      <c r="F30" s="38" t="s">
        <v>79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ht="18.0" customHeight="1">
      <c r="A31" s="33" t="s">
        <v>80</v>
      </c>
      <c r="B31" s="34"/>
      <c r="C31" s="34"/>
      <c r="D31" s="34"/>
      <c r="E31" s="34"/>
      <c r="F31" s="39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ht="30.0" customHeight="1">
      <c r="A32" s="35" t="s">
        <v>81</v>
      </c>
      <c r="B32" s="36">
        <v>0.03</v>
      </c>
      <c r="C32" s="36">
        <v>0.025</v>
      </c>
      <c r="D32" s="36">
        <v>0.02</v>
      </c>
      <c r="E32" s="37">
        <f t="shared" ref="E32:E40" si="5">CHOOSE($B$4,B32,C32,D32)</f>
        <v>0.025</v>
      </c>
      <c r="F32" s="38" t="s">
        <v>82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ht="30.0" customHeight="1">
      <c r="A33" s="35" t="s">
        <v>83</v>
      </c>
      <c r="B33" s="36">
        <v>0.04</v>
      </c>
      <c r="C33" s="36">
        <v>0.02</v>
      </c>
      <c r="D33" s="36">
        <v>0.01</v>
      </c>
      <c r="E33" s="37">
        <f t="shared" si="5"/>
        <v>0.02</v>
      </c>
      <c r="F33" s="38" t="s">
        <v>84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ht="30.0" customHeight="1">
      <c r="A34" s="35" t="s">
        <v>85</v>
      </c>
      <c r="B34" s="43">
        <v>30.0</v>
      </c>
      <c r="C34" s="43">
        <v>20.0</v>
      </c>
      <c r="D34" s="43">
        <v>15.0</v>
      </c>
      <c r="E34" s="44">
        <f t="shared" si="5"/>
        <v>20</v>
      </c>
      <c r="F34" s="38" t="s">
        <v>86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ht="30.0" customHeight="1">
      <c r="A35" s="35" t="s">
        <v>87</v>
      </c>
      <c r="B35" s="43">
        <v>25.0</v>
      </c>
      <c r="C35" s="43">
        <v>15.0</v>
      </c>
      <c r="D35" s="43">
        <v>10.0</v>
      </c>
      <c r="E35" s="44">
        <f t="shared" si="5"/>
        <v>15</v>
      </c>
      <c r="F35" s="38" t="s">
        <v>88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ht="30.0" customHeight="1">
      <c r="A36" s="35" t="s">
        <v>89</v>
      </c>
      <c r="B36" s="43">
        <v>35.0</v>
      </c>
      <c r="C36" s="43">
        <v>45.0</v>
      </c>
      <c r="D36" s="43">
        <v>55.0</v>
      </c>
      <c r="E36" s="44">
        <f t="shared" si="5"/>
        <v>45</v>
      </c>
      <c r="F36" s="38" t="s">
        <v>90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ht="30.0" customHeight="1">
      <c r="A37" s="35" t="s">
        <v>91</v>
      </c>
      <c r="B37" s="36">
        <v>0.21</v>
      </c>
      <c r="C37" s="36">
        <v>0.21</v>
      </c>
      <c r="D37" s="36">
        <v>0.21</v>
      </c>
      <c r="E37" s="37">
        <f t="shared" si="5"/>
        <v>0.21</v>
      </c>
      <c r="F37" s="38" t="s">
        <v>92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ht="30.0" customHeight="1">
      <c r="A38" s="35" t="s">
        <v>93</v>
      </c>
      <c r="B38" s="36">
        <v>0.55</v>
      </c>
      <c r="C38" s="36">
        <v>0.7</v>
      </c>
      <c r="D38" s="36">
        <v>0.8</v>
      </c>
      <c r="E38" s="37">
        <f t="shared" si="5"/>
        <v>0.7</v>
      </c>
      <c r="F38" s="38" t="s">
        <v>94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ht="24.75" customHeight="1">
      <c r="A39" s="35" t="s">
        <v>95</v>
      </c>
      <c r="B39" s="36">
        <v>0.05</v>
      </c>
      <c r="C39" s="36">
        <v>0.04</v>
      </c>
      <c r="D39" s="36">
        <v>0.03</v>
      </c>
      <c r="E39" s="37">
        <f t="shared" si="5"/>
        <v>0.04</v>
      </c>
      <c r="F39" s="45" t="s">
        <v>96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ht="25.5" customHeight="1">
      <c r="A40" s="35" t="s">
        <v>97</v>
      </c>
      <c r="B40" s="36">
        <v>0.06</v>
      </c>
      <c r="C40" s="36">
        <v>0.05</v>
      </c>
      <c r="D40" s="36">
        <v>0.04</v>
      </c>
      <c r="E40" s="37">
        <f t="shared" si="5"/>
        <v>0.05</v>
      </c>
      <c r="F40" s="45" t="s">
        <v>98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ht="30.0" customHeight="1">
      <c r="A41" s="33" t="s">
        <v>99</v>
      </c>
      <c r="B41" s="34"/>
      <c r="C41" s="34"/>
      <c r="D41" s="34"/>
      <c r="E41" s="34"/>
      <c r="F41" s="39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ht="30.0" customHeight="1">
      <c r="A42" s="35" t="s">
        <v>100</v>
      </c>
      <c r="B42" s="36">
        <v>0.035</v>
      </c>
      <c r="C42" s="36">
        <v>0.04</v>
      </c>
      <c r="D42" s="36">
        <v>0.043</v>
      </c>
      <c r="E42" s="37">
        <f t="shared" ref="E42:E44" si="6">CHOOSE($B$4,B42,C42,D42)</f>
        <v>0.04</v>
      </c>
      <c r="F42" s="38" t="s">
        <v>101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ht="28.5" customHeight="1">
      <c r="A43" s="35" t="s">
        <v>102</v>
      </c>
      <c r="B43" s="36">
        <v>0.02</v>
      </c>
      <c r="C43" s="36">
        <v>0.05</v>
      </c>
      <c r="D43" s="36">
        <v>0.08</v>
      </c>
      <c r="E43" s="37">
        <f t="shared" si="6"/>
        <v>0.05</v>
      </c>
      <c r="F43" s="38" t="s">
        <v>103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ht="18.0" customHeight="1">
      <c r="A44" s="35" t="s">
        <v>104</v>
      </c>
      <c r="B44" s="36">
        <v>0.07</v>
      </c>
      <c r="C44" s="36">
        <v>0.06</v>
      </c>
      <c r="D44" s="36">
        <v>0.055</v>
      </c>
      <c r="E44" s="37">
        <f t="shared" si="6"/>
        <v>0.06</v>
      </c>
      <c r="F44" s="38" t="s">
        <v>105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ht="30.0" customHeight="1">
      <c r="A45" s="33" t="s">
        <v>106</v>
      </c>
      <c r="B45" s="34"/>
      <c r="C45" s="34"/>
      <c r="D45" s="34"/>
      <c r="E45" s="34"/>
      <c r="F45" s="39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ht="30.0" customHeight="1">
      <c r="A46" s="35" t="s">
        <v>107</v>
      </c>
      <c r="B46" s="36">
        <v>0.003</v>
      </c>
      <c r="C46" s="36">
        <v>0.0</v>
      </c>
      <c r="D46" s="36">
        <v>0.0</v>
      </c>
      <c r="E46" s="37">
        <f t="shared" ref="E46:E55" si="7">CHOOSE($B$4,B46,C46,D46)</f>
        <v>0</v>
      </c>
      <c r="F46" s="45" t="s">
        <v>108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ht="30.0" customHeight="1">
      <c r="A47" s="35" t="s">
        <v>109</v>
      </c>
      <c r="B47" s="36">
        <v>0.044</v>
      </c>
      <c r="C47" s="36">
        <v>0.044</v>
      </c>
      <c r="D47" s="36">
        <v>0.044</v>
      </c>
      <c r="E47" s="37">
        <f t="shared" si="7"/>
        <v>0.044</v>
      </c>
      <c r="F47" s="38" t="s">
        <v>110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ht="30.0" customHeight="1">
      <c r="A48" s="35" t="s">
        <v>111</v>
      </c>
      <c r="B48" s="36">
        <v>0.055</v>
      </c>
      <c r="C48" s="36">
        <v>0.05</v>
      </c>
      <c r="D48" s="36">
        <v>0.046</v>
      </c>
      <c r="E48" s="37">
        <f t="shared" si="7"/>
        <v>0.05</v>
      </c>
      <c r="F48" s="38" t="s">
        <v>112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ht="30.0" customHeight="1">
      <c r="A49" s="35" t="s">
        <v>113</v>
      </c>
      <c r="B49" s="46">
        <v>1.3</v>
      </c>
      <c r="C49" s="46">
        <v>1.1</v>
      </c>
      <c r="D49" s="46">
        <v>0.95</v>
      </c>
      <c r="E49" s="47">
        <f t="shared" si="7"/>
        <v>1.1</v>
      </c>
      <c r="F49" s="40" t="s">
        <v>114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ht="30.0" customHeight="1">
      <c r="A50" s="35" t="s">
        <v>115</v>
      </c>
      <c r="B50" s="46">
        <v>1.1</v>
      </c>
      <c r="C50" s="46">
        <v>0.95</v>
      </c>
      <c r="D50" s="46">
        <v>0.8</v>
      </c>
      <c r="E50" s="47">
        <f t="shared" si="7"/>
        <v>0.95</v>
      </c>
      <c r="F50" s="48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ht="30.0" customHeight="1">
      <c r="A51" s="35" t="s">
        <v>116</v>
      </c>
      <c r="B51" s="46">
        <v>2.2</v>
      </c>
      <c r="C51" s="46">
        <v>1.75</v>
      </c>
      <c r="D51" s="46">
        <v>1.4</v>
      </c>
      <c r="E51" s="47">
        <f t="shared" si="7"/>
        <v>1.75</v>
      </c>
      <c r="F51" s="41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ht="30.0" customHeight="1">
      <c r="A52" s="35" t="s">
        <v>117</v>
      </c>
      <c r="B52" s="47">
        <f>(Input!$E$16/Input!$E$15)*B49+(Input!$E$17/Input!$E$15)*B50+(Input!$E$18/Input!$E$15)*B51</f>
        <v>1.332317661</v>
      </c>
      <c r="C52" s="47">
        <f>(Input!$E$16/Input!$E$15)*C49+(Input!$E$17/Input!$E$15)*C50+(Input!$E$18/Input!$E$15)*C51</f>
        <v>1.119952876</v>
      </c>
      <c r="D52" s="47">
        <f>(Input!$E$16/Input!$E$15)*D49+(Input!$E$17/Input!$E$15)*D50+(Input!$E$18/Input!$E$15)*D51</f>
        <v>0.9356699154</v>
      </c>
      <c r="E52" s="47">
        <f t="shared" si="7"/>
        <v>1.119952876</v>
      </c>
      <c r="F52" s="38" t="s">
        <v>118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ht="30.0" customHeight="1">
      <c r="A53" s="35" t="s">
        <v>119</v>
      </c>
      <c r="B53" s="36">
        <v>0.05</v>
      </c>
      <c r="C53" s="36">
        <v>0.03</v>
      </c>
      <c r="D53" s="36">
        <v>0.02</v>
      </c>
      <c r="E53" s="37">
        <f t="shared" si="7"/>
        <v>0.03</v>
      </c>
      <c r="F53" s="38" t="s">
        <v>120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ht="18.0" customHeight="1">
      <c r="A54" s="35" t="s">
        <v>121</v>
      </c>
      <c r="B54" s="37">
        <f t="shared" ref="B54:D54" si="8">B47+B52*B48+B46</f>
        <v>0.1202774714</v>
      </c>
      <c r="C54" s="37">
        <f t="shared" si="8"/>
        <v>0.09999764378</v>
      </c>
      <c r="D54" s="37">
        <f t="shared" si="8"/>
        <v>0.08704081611</v>
      </c>
      <c r="E54" s="37">
        <f t="shared" si="7"/>
        <v>0.09999764378</v>
      </c>
      <c r="F54" s="38" t="s">
        <v>122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ht="30.0" customHeight="1">
      <c r="A55" s="35" t="s">
        <v>123</v>
      </c>
      <c r="B55" s="37">
        <f t="shared" ref="B55:D55" si="9">B54*(1-B53)+B44*(1-B37)*B53</f>
        <v>0.1170285978</v>
      </c>
      <c r="C55" s="37">
        <f t="shared" si="9"/>
        <v>0.09841971447</v>
      </c>
      <c r="D55" s="37">
        <f t="shared" si="9"/>
        <v>0.08616899979</v>
      </c>
      <c r="E55" s="37">
        <f t="shared" si="7"/>
        <v>0.09841971447</v>
      </c>
      <c r="F55" s="38" t="s">
        <v>124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ht="30.0" customHeight="1">
      <c r="A56" s="33" t="s">
        <v>125</v>
      </c>
      <c r="B56" s="34"/>
      <c r="C56" s="34"/>
      <c r="D56" s="34"/>
      <c r="E56" s="34"/>
      <c r="F56" s="39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ht="30.0" customHeight="1">
      <c r="A57" s="35" t="s">
        <v>126</v>
      </c>
      <c r="B57" s="49">
        <v>0.02</v>
      </c>
      <c r="C57" s="49">
        <v>0.025</v>
      </c>
      <c r="D57" s="49">
        <v>0.029</v>
      </c>
      <c r="E57" s="50">
        <f t="shared" ref="E57:E58" si="10">CHOOSE($B$4,B57,C57,D57)</f>
        <v>0.025</v>
      </c>
      <c r="F57" s="38" t="s">
        <v>127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ht="39.0" customHeight="1">
      <c r="A58" s="35" t="s">
        <v>128</v>
      </c>
      <c r="B58" s="51">
        <v>12.0</v>
      </c>
      <c r="C58" s="51">
        <v>18.0</v>
      </c>
      <c r="D58" s="51">
        <v>22.0</v>
      </c>
      <c r="E58" s="52">
        <f t="shared" si="10"/>
        <v>18</v>
      </c>
      <c r="F58" s="38" t="s">
        <v>129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ht="18.0" customHeight="1">
      <c r="A59" s="35" t="s">
        <v>130</v>
      </c>
      <c r="B59" s="43"/>
      <c r="C59" s="53">
        <v>1.0</v>
      </c>
      <c r="D59" s="43"/>
      <c r="E59" s="54">
        <f>C59</f>
        <v>1</v>
      </c>
      <c r="F59" s="38" t="s">
        <v>131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ht="29.25" customHeight="1">
      <c r="A60" s="35" t="s">
        <v>132</v>
      </c>
      <c r="B60" s="43"/>
      <c r="C60" s="55">
        <v>1.0</v>
      </c>
      <c r="D60" s="43"/>
      <c r="E60" s="56">
        <v>1.0</v>
      </c>
      <c r="F60" s="38" t="s">
        <v>133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ht="18.0" customHeight="1">
      <c r="A61" s="33" t="s">
        <v>134</v>
      </c>
      <c r="B61" s="34"/>
      <c r="C61" s="34"/>
      <c r="D61" s="34"/>
      <c r="E61" s="34"/>
      <c r="F61" s="39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ht="24.75" customHeight="1">
      <c r="A62" s="35" t="s">
        <v>135</v>
      </c>
      <c r="B62" s="57">
        <v>29132.0</v>
      </c>
      <c r="C62" s="57">
        <v>29132.0</v>
      </c>
      <c r="D62" s="57">
        <v>29132.0</v>
      </c>
      <c r="E62" s="57">
        <v>29132.0</v>
      </c>
      <c r="F62" s="38" t="s">
        <v>136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ht="18.0" customHeight="1">
      <c r="A63" s="35" t="s">
        <v>137</v>
      </c>
      <c r="B63" s="57">
        <v>15852.0</v>
      </c>
      <c r="C63" s="57">
        <v>15852.0</v>
      </c>
      <c r="D63" s="57">
        <v>15852.0</v>
      </c>
      <c r="E63" s="57">
        <v>15852.0</v>
      </c>
      <c r="F63" s="38" t="s">
        <v>138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ht="24.75" customHeight="1">
      <c r="A64" s="35" t="s">
        <v>139</v>
      </c>
      <c r="B64" s="57">
        <v>74400.0</v>
      </c>
      <c r="C64" s="57">
        <v>74400.0</v>
      </c>
      <c r="D64" s="57">
        <v>74400.0</v>
      </c>
      <c r="E64" s="57">
        <v>74400.0</v>
      </c>
      <c r="F64" s="38" t="s">
        <v>140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ht="18.0" customHeight="1">
      <c r="A65" s="35" t="s">
        <v>141</v>
      </c>
      <c r="B65" s="58">
        <f t="shared" ref="B65:E65" si="11">B63+B64</f>
        <v>90252</v>
      </c>
      <c r="C65" s="58">
        <f t="shared" si="11"/>
        <v>90252</v>
      </c>
      <c r="D65" s="58">
        <f t="shared" si="11"/>
        <v>90252</v>
      </c>
      <c r="E65" s="58">
        <f t="shared" si="11"/>
        <v>90252</v>
      </c>
      <c r="F65" s="38" t="s">
        <v>142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ht="23.25" customHeight="1">
      <c r="A66" s="35" t="s">
        <v>143</v>
      </c>
      <c r="B66" s="58">
        <f t="shared" ref="B66:E66" si="12">B62-B65</f>
        <v>-61120</v>
      </c>
      <c r="C66" s="58">
        <f t="shared" si="12"/>
        <v>-61120</v>
      </c>
      <c r="D66" s="58">
        <f t="shared" si="12"/>
        <v>-61120</v>
      </c>
      <c r="E66" s="58">
        <f t="shared" si="12"/>
        <v>-61120</v>
      </c>
      <c r="F66" s="38" t="s">
        <v>144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ht="23.25" customHeight="1">
      <c r="A67" s="35" t="s">
        <v>145</v>
      </c>
      <c r="B67" s="57">
        <v>7049.0</v>
      </c>
      <c r="C67" s="57">
        <v>7049.0</v>
      </c>
      <c r="D67" s="57">
        <v>7049.0</v>
      </c>
      <c r="E67" s="57">
        <v>7049.0</v>
      </c>
      <c r="F67" s="38" t="s">
        <v>146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ht="21.75" customHeight="1">
      <c r="A68" s="35" t="s">
        <v>147</v>
      </c>
      <c r="B68" s="59">
        <v>13075.9</v>
      </c>
      <c r="C68" s="59">
        <v>13075.9</v>
      </c>
      <c r="D68" s="59">
        <v>13075.9</v>
      </c>
      <c r="E68" s="59">
        <v>13075.9</v>
      </c>
      <c r="F68" s="38" t="s">
        <v>148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ht="21.75" customHeight="1">
      <c r="A69" s="35" t="s">
        <v>149</v>
      </c>
      <c r="B69" s="60">
        <v>157.54</v>
      </c>
      <c r="C69" s="60">
        <v>157.54</v>
      </c>
      <c r="D69" s="60">
        <v>157.54</v>
      </c>
      <c r="E69" s="60">
        <v>157.54</v>
      </c>
      <c r="F69" s="38" t="s">
        <v>150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</sheetData>
  <mergeCells count="9">
    <mergeCell ref="F25:F26"/>
    <mergeCell ref="F49:F51"/>
    <mergeCell ref="A2:F2"/>
    <mergeCell ref="A3:F3"/>
    <mergeCell ref="F14:F15"/>
    <mergeCell ref="F16:F17"/>
    <mergeCell ref="F18:F19"/>
    <mergeCell ref="F21:F22"/>
    <mergeCell ref="F23:F24"/>
  </mergeCells>
  <printOptions/>
  <pageMargins bottom="0.25" footer="0.0" header="0.0" left="0.25" right="0.25" top="0.2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2.0"/>
    <col customWidth="1" min="2" max="2" width="8.0"/>
    <col customWidth="1" min="3" max="3" width="58.0"/>
    <col customWidth="1" min="4" max="5" width="14.0"/>
    <col customWidth="1" min="6" max="6" width="90.0"/>
  </cols>
  <sheetData>
    <row r="1" ht="23.25" customHeight="1">
      <c r="A1" s="61" t="s">
        <v>151</v>
      </c>
      <c r="B1" s="2"/>
      <c r="C1" s="2"/>
      <c r="D1" s="2"/>
      <c r="E1" s="3"/>
      <c r="F1" s="62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 ht="20.25" customHeight="1">
      <c r="A2" s="64" t="s">
        <v>152</v>
      </c>
      <c r="B2" s="2"/>
      <c r="C2" s="2"/>
      <c r="D2" s="2"/>
      <c r="E2" s="3"/>
      <c r="F2" s="4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5.0" customHeight="1">
      <c r="A3" s="66"/>
      <c r="B3" s="2"/>
      <c r="C3" s="2"/>
      <c r="D3" s="2"/>
      <c r="E3" s="3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5.0" customHeight="1">
      <c r="A4" s="67" t="s">
        <v>153</v>
      </c>
      <c r="B4" s="67" t="s">
        <v>154</v>
      </c>
      <c r="C4" s="67" t="s">
        <v>155</v>
      </c>
      <c r="D4" s="67" t="s">
        <v>156</v>
      </c>
      <c r="E4" s="67" t="s">
        <v>157</v>
      </c>
      <c r="F4" s="6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54.75" customHeight="1">
      <c r="A5" s="67" t="s">
        <v>158</v>
      </c>
      <c r="B5" s="67"/>
      <c r="C5" s="69" t="s">
        <v>159</v>
      </c>
      <c r="D5" s="70"/>
      <c r="E5" s="70"/>
      <c r="F5" s="6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5.0" customHeight="1">
      <c r="A6" s="67" t="s">
        <v>160</v>
      </c>
      <c r="B6" s="67"/>
      <c r="C6" s="69" t="s">
        <v>161</v>
      </c>
      <c r="D6" s="70"/>
      <c r="E6" s="70"/>
      <c r="F6" s="6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5.0" customHeight="1">
      <c r="A7" s="67" t="s">
        <v>162</v>
      </c>
      <c r="B7" s="67"/>
      <c r="C7" s="69" t="s">
        <v>163</v>
      </c>
      <c r="D7" s="70"/>
      <c r="E7" s="70"/>
      <c r="F7" s="6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5.0" customHeight="1">
      <c r="A8" s="67" t="s">
        <v>154</v>
      </c>
      <c r="B8" s="67"/>
      <c r="C8" s="69" t="s">
        <v>164</v>
      </c>
      <c r="D8" s="70"/>
      <c r="E8" s="70"/>
      <c r="F8" s="6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5.0" customHeight="1">
      <c r="A9" s="67" t="s">
        <v>9</v>
      </c>
      <c r="B9" s="67"/>
      <c r="C9" s="69" t="s">
        <v>10</v>
      </c>
      <c r="D9" s="70"/>
      <c r="E9" s="70"/>
      <c r="F9" s="6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28.5" customHeight="1">
      <c r="A10" s="67" t="s">
        <v>165</v>
      </c>
      <c r="B10" s="67"/>
      <c r="C10" s="69" t="s">
        <v>166</v>
      </c>
      <c r="D10" s="70"/>
      <c r="E10" s="70"/>
      <c r="F10" s="6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21.75" customHeight="1">
      <c r="A11" s="67" t="s">
        <v>167</v>
      </c>
      <c r="B11" s="67"/>
      <c r="C11" s="69" t="s">
        <v>168</v>
      </c>
      <c r="D11" s="70"/>
      <c r="E11" s="70"/>
      <c r="F11" s="68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9.0" customHeight="1">
      <c r="A12" s="67" t="s">
        <v>13</v>
      </c>
      <c r="B12" s="67"/>
      <c r="C12" s="71" t="s">
        <v>169</v>
      </c>
      <c r="D12" s="70"/>
      <c r="E12" s="70"/>
      <c r="F12" s="68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3.0" customHeight="1">
      <c r="A13" s="67" t="s">
        <v>170</v>
      </c>
      <c r="B13" s="67"/>
      <c r="C13" s="69" t="s">
        <v>171</v>
      </c>
      <c r="D13" s="70"/>
      <c r="E13" s="70"/>
      <c r="F13" s="68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5.0" customHeight="1">
      <c r="A14" s="72" t="s">
        <v>172</v>
      </c>
      <c r="B14" s="2"/>
      <c r="C14" s="2"/>
      <c r="D14" s="2"/>
      <c r="E14" s="3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5.0" customHeight="1">
      <c r="A15" s="67" t="s">
        <v>173</v>
      </c>
      <c r="B15" s="67" t="s">
        <v>164</v>
      </c>
      <c r="C15" s="73">
        <v>10387.0</v>
      </c>
      <c r="D15" s="73">
        <v>14015.0</v>
      </c>
      <c r="E15" s="73">
        <v>18674.0</v>
      </c>
      <c r="F15" s="68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7.75" customHeight="1">
      <c r="A16" s="67" t="s">
        <v>174</v>
      </c>
      <c r="B16" s="67" t="s">
        <v>164</v>
      </c>
      <c r="C16" s="67" t="s">
        <v>175</v>
      </c>
      <c r="D16" s="67" t="s">
        <v>175</v>
      </c>
      <c r="E16" s="73">
        <v>4086.0</v>
      </c>
      <c r="F16" s="68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7.75" customHeight="1">
      <c r="A17" s="67" t="s">
        <v>176</v>
      </c>
      <c r="B17" s="67" t="s">
        <v>164</v>
      </c>
      <c r="C17" s="67" t="s">
        <v>175</v>
      </c>
      <c r="D17" s="67" t="s">
        <v>175</v>
      </c>
      <c r="E17" s="73">
        <v>11387.0</v>
      </c>
      <c r="F17" s="68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7.75" customHeight="1">
      <c r="A18" s="67" t="s">
        <v>177</v>
      </c>
      <c r="B18" s="67" t="s">
        <v>164</v>
      </c>
      <c r="C18" s="67" t="s">
        <v>175</v>
      </c>
      <c r="D18" s="67" t="s">
        <v>175</v>
      </c>
      <c r="E18" s="73">
        <v>3201.0</v>
      </c>
      <c r="F18" s="68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5.0" customHeight="1">
      <c r="A19" s="67" t="s">
        <v>178</v>
      </c>
      <c r="B19" s="67" t="s">
        <v>164</v>
      </c>
      <c r="C19" s="67" t="s">
        <v>175</v>
      </c>
      <c r="D19" s="67" t="s">
        <v>175</v>
      </c>
      <c r="E19" s="67" t="s">
        <v>175</v>
      </c>
      <c r="F19" s="68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5.0" customHeight="1">
      <c r="A20" s="67" t="s">
        <v>179</v>
      </c>
      <c r="B20" s="67" t="s">
        <v>164</v>
      </c>
      <c r="C20" s="67" t="s">
        <v>175</v>
      </c>
      <c r="D20" s="67" t="s">
        <v>175</v>
      </c>
      <c r="E20" s="67" t="s">
        <v>175</v>
      </c>
      <c r="F20" s="68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27.75" customHeight="1">
      <c r="A21" s="67" t="s">
        <v>180</v>
      </c>
      <c r="B21" s="67" t="s">
        <v>164</v>
      </c>
      <c r="C21" s="67" t="s">
        <v>175</v>
      </c>
      <c r="D21" s="67" t="s">
        <v>175</v>
      </c>
      <c r="E21" s="67" t="s">
        <v>175</v>
      </c>
      <c r="F21" s="68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5.0" customHeight="1">
      <c r="A22" s="67" t="s">
        <v>181</v>
      </c>
      <c r="B22" s="67" t="s">
        <v>164</v>
      </c>
      <c r="C22" s="67" t="s">
        <v>175</v>
      </c>
      <c r="D22" s="67" t="s">
        <v>175</v>
      </c>
      <c r="E22" s="67" t="s">
        <v>175</v>
      </c>
      <c r="F22" s="68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5.0" customHeight="1">
      <c r="A23" s="67" t="s">
        <v>182</v>
      </c>
      <c r="B23" s="67" t="s">
        <v>164</v>
      </c>
      <c r="C23" s="67" t="s">
        <v>175</v>
      </c>
      <c r="D23" s="67" t="s">
        <v>175</v>
      </c>
      <c r="E23" s="67" t="s">
        <v>175</v>
      </c>
      <c r="F23" s="68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7.75" customHeight="1">
      <c r="A24" s="67" t="s">
        <v>183</v>
      </c>
      <c r="B24" s="67" t="s">
        <v>164</v>
      </c>
      <c r="C24" s="67" t="s">
        <v>175</v>
      </c>
      <c r="D24" s="67" t="s">
        <v>175</v>
      </c>
      <c r="E24" s="67" t="s">
        <v>175</v>
      </c>
      <c r="F24" s="68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5.0" customHeight="1">
      <c r="A25" s="67" t="s">
        <v>184</v>
      </c>
      <c r="B25" s="67" t="s">
        <v>164</v>
      </c>
      <c r="C25" s="67" t="s">
        <v>175</v>
      </c>
      <c r="D25" s="67" t="s">
        <v>175</v>
      </c>
      <c r="E25" s="67" t="s">
        <v>175</v>
      </c>
      <c r="F25" s="68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27.75" customHeight="1">
      <c r="A26" s="67" t="s">
        <v>185</v>
      </c>
      <c r="B26" s="67" t="s">
        <v>164</v>
      </c>
      <c r="C26" s="73">
        <v>3821.0</v>
      </c>
      <c r="D26" s="73">
        <v>5350.0</v>
      </c>
      <c r="E26" s="73">
        <v>6584.0</v>
      </c>
      <c r="F26" s="68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27.75" customHeight="1">
      <c r="A27" s="67" t="s">
        <v>186</v>
      </c>
      <c r="B27" s="67" t="s">
        <v>164</v>
      </c>
      <c r="C27" s="67" t="s">
        <v>175</v>
      </c>
      <c r="D27" s="67" t="s">
        <v>175</v>
      </c>
      <c r="E27" s="67" t="s">
        <v>175</v>
      </c>
      <c r="F27" s="68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5.0" customHeight="1">
      <c r="A28" s="67" t="s">
        <v>187</v>
      </c>
      <c r="B28" s="67" t="s">
        <v>164</v>
      </c>
      <c r="C28" s="73">
        <v>-3505.0</v>
      </c>
      <c r="D28" s="73">
        <v>466.0</v>
      </c>
      <c r="E28" s="73">
        <v>-2589.0</v>
      </c>
      <c r="F28" s="68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5.0" customHeight="1">
      <c r="A29" s="67" t="s">
        <v>188</v>
      </c>
      <c r="B29" s="67" t="s">
        <v>164</v>
      </c>
      <c r="C29" s="67" t="s">
        <v>175</v>
      </c>
      <c r="D29" s="67" t="s">
        <v>175</v>
      </c>
      <c r="E29" s="67" t="s">
        <v>175</v>
      </c>
      <c r="F29" s="68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5.0" customHeight="1">
      <c r="A30" s="67" t="s">
        <v>189</v>
      </c>
      <c r="B30" s="67" t="s">
        <v>164</v>
      </c>
      <c r="C30" s="67" t="s">
        <v>175</v>
      </c>
      <c r="D30" s="67" t="s">
        <v>175</v>
      </c>
      <c r="E30" s="67" t="s">
        <v>175</v>
      </c>
      <c r="F30" s="68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5.0" customHeight="1">
      <c r="A31" s="67" t="s">
        <v>190</v>
      </c>
      <c r="B31" s="67" t="s">
        <v>164</v>
      </c>
      <c r="C31" s="67" t="s">
        <v>175</v>
      </c>
      <c r="D31" s="67" t="s">
        <v>175</v>
      </c>
      <c r="E31" s="67" t="s">
        <v>175</v>
      </c>
      <c r="F31" s="68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5.0" customHeight="1">
      <c r="A32" s="67" t="s">
        <v>191</v>
      </c>
      <c r="B32" s="67" t="s">
        <v>164</v>
      </c>
      <c r="C32" s="67" t="s">
        <v>175</v>
      </c>
      <c r="D32" s="67" t="s">
        <v>175</v>
      </c>
      <c r="E32" s="67" t="s">
        <v>175</v>
      </c>
      <c r="F32" s="68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5.0" customHeight="1">
      <c r="A33" s="67" t="s">
        <v>192</v>
      </c>
      <c r="B33" s="67" t="s">
        <v>164</v>
      </c>
      <c r="C33" s="67" t="s">
        <v>175</v>
      </c>
      <c r="D33" s="67" t="s">
        <v>175</v>
      </c>
      <c r="E33" s="67" t="s">
        <v>175</v>
      </c>
      <c r="F33" s="68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5.0" customHeight="1">
      <c r="A34" s="67" t="s">
        <v>193</v>
      </c>
      <c r="B34" s="67" t="s">
        <v>164</v>
      </c>
      <c r="C34" s="73">
        <v>-4628.0</v>
      </c>
      <c r="D34" s="73">
        <v>791.0</v>
      </c>
      <c r="E34" s="73">
        <v>-4937.0</v>
      </c>
      <c r="F34" s="68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5.0" customHeight="1">
      <c r="A35" s="67" t="s">
        <v>194</v>
      </c>
      <c r="B35" s="67" t="s">
        <v>164</v>
      </c>
      <c r="C35" s="67" t="s">
        <v>175</v>
      </c>
      <c r="D35" s="67" t="s">
        <v>175</v>
      </c>
      <c r="E35" s="67" t="s">
        <v>175</v>
      </c>
      <c r="F35" s="68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41.25" customHeight="1">
      <c r="A36" s="67" t="s">
        <v>195</v>
      </c>
      <c r="B36" s="67" t="s">
        <v>164</v>
      </c>
      <c r="C36" s="67" t="s">
        <v>175</v>
      </c>
      <c r="D36" s="67" t="s">
        <v>175</v>
      </c>
      <c r="E36" s="73">
        <v>-4937.0</v>
      </c>
      <c r="F36" s="68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5.0" customHeight="1">
      <c r="A37" s="67" t="s">
        <v>196</v>
      </c>
      <c r="B37" s="67" t="s">
        <v>164</v>
      </c>
      <c r="C37" s="73">
        <v>2759.0</v>
      </c>
      <c r="D37" s="73">
        <v>2848.0</v>
      </c>
      <c r="E37" s="73">
        <v>2926.0</v>
      </c>
      <c r="F37" s="68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41.25" customHeight="1">
      <c r="A38" s="67" t="s">
        <v>197</v>
      </c>
      <c r="B38" s="67" t="s">
        <v>164</v>
      </c>
      <c r="C38" s="73">
        <v>2759.0</v>
      </c>
      <c r="D38" s="73">
        <v>9956.0</v>
      </c>
      <c r="E38" s="73">
        <v>2926.0</v>
      </c>
      <c r="F38" s="68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5.0" customHeight="1">
      <c r="A39" s="67" t="s">
        <v>198</v>
      </c>
      <c r="B39" s="67" t="s">
        <v>164</v>
      </c>
      <c r="C39" s="73">
        <v>-1.68</v>
      </c>
      <c r="D39" s="73">
        <v>0.0</v>
      </c>
      <c r="E39" s="73">
        <v>-1.69</v>
      </c>
      <c r="F39" s="68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5.0" customHeight="1">
      <c r="A40" s="74" t="s">
        <v>199</v>
      </c>
      <c r="B40" s="2"/>
      <c r="C40" s="2"/>
      <c r="D40" s="2"/>
      <c r="E40" s="3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27.75" customHeight="1">
      <c r="A41" s="67" t="s">
        <v>200</v>
      </c>
      <c r="B41" s="67" t="s">
        <v>164</v>
      </c>
      <c r="C41" s="67" t="s">
        <v>175</v>
      </c>
      <c r="D41" s="73">
        <v>11385.0</v>
      </c>
      <c r="E41" s="73">
        <v>24747.0</v>
      </c>
      <c r="F41" s="68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5.0" customHeight="1">
      <c r="A42" s="67" t="s">
        <v>201</v>
      </c>
      <c r="B42" s="67" t="s">
        <v>164</v>
      </c>
      <c r="C42" s="67" t="s">
        <v>175</v>
      </c>
      <c r="D42" s="67" t="s">
        <v>175</v>
      </c>
      <c r="E42" s="67" t="s">
        <v>175</v>
      </c>
      <c r="F42" s="68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5.0" customHeight="1">
      <c r="A43" s="67" t="s">
        <v>202</v>
      </c>
      <c r="B43" s="67" t="s">
        <v>164</v>
      </c>
      <c r="C43" s="67" t="s">
        <v>175</v>
      </c>
      <c r="D43" s="67" t="s">
        <v>175</v>
      </c>
      <c r="E43" s="67" t="s">
        <v>175</v>
      </c>
      <c r="F43" s="68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5.0" customHeight="1">
      <c r="A44" s="67" t="s">
        <v>203</v>
      </c>
      <c r="B44" s="67" t="s">
        <v>164</v>
      </c>
      <c r="C44" s="67" t="s">
        <v>175</v>
      </c>
      <c r="D44" s="67" t="s">
        <v>175</v>
      </c>
      <c r="E44" s="67" t="s">
        <v>175</v>
      </c>
      <c r="F44" s="68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5.0" customHeight="1">
      <c r="A45" s="67" t="s">
        <v>204</v>
      </c>
      <c r="B45" s="67" t="s">
        <v>164</v>
      </c>
      <c r="C45" s="67" t="s">
        <v>175</v>
      </c>
      <c r="D45" s="67" t="s">
        <v>175</v>
      </c>
      <c r="E45" s="67" t="s">
        <v>175</v>
      </c>
      <c r="F45" s="68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5.0" customHeight="1">
      <c r="A46" s="67" t="s">
        <v>205</v>
      </c>
      <c r="B46" s="67" t="s">
        <v>164</v>
      </c>
      <c r="C46" s="67" t="s">
        <v>175</v>
      </c>
      <c r="D46" s="73">
        <v>16108.0</v>
      </c>
      <c r="E46" s="73">
        <v>30952.0</v>
      </c>
      <c r="F46" s="68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5.0" customHeight="1">
      <c r="A47" s="67" t="s">
        <v>206</v>
      </c>
      <c r="B47" s="67" t="s">
        <v>164</v>
      </c>
      <c r="C47" s="67" t="s">
        <v>175</v>
      </c>
      <c r="D47" s="73">
        <v>21147.0</v>
      </c>
      <c r="E47" s="73">
        <v>42602.0</v>
      </c>
      <c r="F47" s="6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5.0" customHeight="1">
      <c r="A48" s="67" t="s">
        <v>207</v>
      </c>
      <c r="B48" s="67" t="s">
        <v>164</v>
      </c>
      <c r="C48" s="67" t="s">
        <v>175</v>
      </c>
      <c r="D48" s="67" t="s">
        <v>175</v>
      </c>
      <c r="E48" s="67" t="s">
        <v>175</v>
      </c>
      <c r="F48" s="6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5.0" customHeight="1">
      <c r="A49" s="67" t="s">
        <v>208</v>
      </c>
      <c r="B49" s="67" t="s">
        <v>164</v>
      </c>
      <c r="C49" s="67" t="s">
        <v>175</v>
      </c>
      <c r="D49" s="67" t="s">
        <v>175</v>
      </c>
      <c r="E49" s="67" t="s">
        <v>175</v>
      </c>
      <c r="F49" s="68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5.0" customHeight="1">
      <c r="A50" s="67" t="s">
        <v>209</v>
      </c>
      <c r="B50" s="67" t="s">
        <v>164</v>
      </c>
      <c r="C50" s="67" t="s">
        <v>175</v>
      </c>
      <c r="D50" s="67" t="s">
        <v>175</v>
      </c>
      <c r="E50" s="67" t="s">
        <v>175</v>
      </c>
      <c r="F50" s="68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5.0" customHeight="1">
      <c r="A51" s="67" t="s">
        <v>210</v>
      </c>
      <c r="B51" s="67" t="s">
        <v>164</v>
      </c>
      <c r="C51" s="67" t="s">
        <v>175</v>
      </c>
      <c r="D51" s="73">
        <v>57062.0</v>
      </c>
      <c r="E51" s="73">
        <v>92079.0</v>
      </c>
      <c r="F51" s="68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5.0" customHeight="1">
      <c r="A52" s="67" t="s">
        <v>211</v>
      </c>
      <c r="B52" s="67" t="s">
        <v>164</v>
      </c>
      <c r="C52" s="67" t="s">
        <v>175</v>
      </c>
      <c r="D52" s="67" t="s">
        <v>175</v>
      </c>
      <c r="E52" s="67" t="s">
        <v>175</v>
      </c>
      <c r="F52" s="68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5.0" customHeight="1">
      <c r="A53" s="67" t="s">
        <v>212</v>
      </c>
      <c r="B53" s="67" t="s">
        <v>164</v>
      </c>
      <c r="C53" s="67" t="s">
        <v>175</v>
      </c>
      <c r="D53" s="73">
        <v>372.0</v>
      </c>
      <c r="E53" s="73">
        <v>928.0</v>
      </c>
      <c r="F53" s="68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5.0" customHeight="1">
      <c r="A54" s="67" t="s">
        <v>213</v>
      </c>
      <c r="B54" s="67" t="s">
        <v>164</v>
      </c>
      <c r="C54" s="67" t="s">
        <v>175</v>
      </c>
      <c r="D54" s="67" t="s">
        <v>175</v>
      </c>
      <c r="E54" s="67" t="s">
        <v>175</v>
      </c>
      <c r="F54" s="68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5.0" customHeight="1">
      <c r="A55" s="67" t="s">
        <v>214</v>
      </c>
      <c r="B55" s="67" t="s">
        <v>164</v>
      </c>
      <c r="C55" s="67" t="s">
        <v>175</v>
      </c>
      <c r="D55" s="73">
        <v>11791.0</v>
      </c>
      <c r="E55" s="73">
        <v>21400.0</v>
      </c>
      <c r="F55" s="68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27.75" customHeight="1">
      <c r="A56" s="67" t="s">
        <v>215</v>
      </c>
      <c r="B56" s="67" t="s">
        <v>164</v>
      </c>
      <c r="C56" s="67" t="s">
        <v>175</v>
      </c>
      <c r="D56" s="67" t="s">
        <v>175</v>
      </c>
      <c r="E56" s="67" t="s">
        <v>175</v>
      </c>
      <c r="F56" s="68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5.0" customHeight="1">
      <c r="A57" s="67" t="s">
        <v>216</v>
      </c>
      <c r="B57" s="67" t="s">
        <v>164</v>
      </c>
      <c r="C57" s="67" t="s">
        <v>175</v>
      </c>
      <c r="D57" s="67" t="s">
        <v>175</v>
      </c>
      <c r="E57" s="67" t="s">
        <v>175</v>
      </c>
      <c r="F57" s="68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5.0" customHeight="1">
      <c r="A58" s="67" t="s">
        <v>217</v>
      </c>
      <c r="B58" s="67" t="s">
        <v>164</v>
      </c>
      <c r="C58" s="67" t="s">
        <v>175</v>
      </c>
      <c r="D58" s="67" t="s">
        <v>175</v>
      </c>
      <c r="E58" s="67" t="s">
        <v>175</v>
      </c>
      <c r="F58" s="68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9.5" customHeight="1">
      <c r="A59" s="67" t="s">
        <v>218</v>
      </c>
      <c r="B59" s="67" t="s">
        <v>164</v>
      </c>
      <c r="C59" s="67" t="s">
        <v>175</v>
      </c>
      <c r="D59" s="73">
        <v>31258.0</v>
      </c>
      <c r="E59" s="73">
        <v>50754.0</v>
      </c>
      <c r="F59" s="68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5.0" customHeight="1">
      <c r="A60" s="67" t="s">
        <v>219</v>
      </c>
      <c r="B60" s="67" t="s">
        <v>164</v>
      </c>
      <c r="C60" s="67" t="s">
        <v>175</v>
      </c>
      <c r="D60" s="67" t="s">
        <v>175</v>
      </c>
      <c r="E60" s="67" t="s">
        <v>175</v>
      </c>
      <c r="F60" s="68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5.0" customHeight="1">
      <c r="A61" s="67" t="s">
        <v>220</v>
      </c>
      <c r="B61" s="67" t="s">
        <v>164</v>
      </c>
      <c r="C61" s="67" t="s">
        <v>175</v>
      </c>
      <c r="D61" s="67" t="s">
        <v>175</v>
      </c>
      <c r="E61" s="67" t="s">
        <v>175</v>
      </c>
      <c r="F61" s="68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5.0" customHeight="1">
      <c r="A62" s="67" t="s">
        <v>221</v>
      </c>
      <c r="B62" s="67" t="s">
        <v>164</v>
      </c>
      <c r="C62" s="67" t="s">
        <v>175</v>
      </c>
      <c r="D62" s="67" t="s">
        <v>175</v>
      </c>
      <c r="E62" s="67" t="s">
        <v>175</v>
      </c>
      <c r="F62" s="68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5.0" customHeight="1">
      <c r="A63" s="67" t="s">
        <v>222</v>
      </c>
      <c r="B63" s="67" t="s">
        <v>164</v>
      </c>
      <c r="C63" s="67" t="s">
        <v>175</v>
      </c>
      <c r="D63" s="67" t="s">
        <v>175</v>
      </c>
      <c r="E63" s="67" t="s">
        <v>175</v>
      </c>
      <c r="F63" s="68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5.0" customHeight="1">
      <c r="A64" s="67" t="s">
        <v>223</v>
      </c>
      <c r="B64" s="67" t="s">
        <v>164</v>
      </c>
      <c r="C64" s="67" t="s">
        <v>175</v>
      </c>
      <c r="D64" s="73">
        <v>4863.0</v>
      </c>
      <c r="E64" s="73">
        <v>2573.0</v>
      </c>
      <c r="F64" s="68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4.25" customHeight="1">
      <c r="A65" s="67" t="s">
        <v>224</v>
      </c>
      <c r="B65" s="67" t="s">
        <v>164</v>
      </c>
      <c r="C65" s="67" t="s">
        <v>175</v>
      </c>
      <c r="D65" s="73">
        <v>57062.0</v>
      </c>
      <c r="E65" s="73">
        <v>92079.0</v>
      </c>
      <c r="F65" s="68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5.0" customHeight="1">
      <c r="A66" s="74" t="s">
        <v>225</v>
      </c>
      <c r="B66" s="2"/>
      <c r="C66" s="2"/>
      <c r="D66" s="2"/>
      <c r="E66" s="3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4.25" customHeight="1">
      <c r="A67" s="67" t="s">
        <v>226</v>
      </c>
      <c r="B67" s="67" t="s">
        <v>164</v>
      </c>
      <c r="C67" s="73">
        <v>-4628.0</v>
      </c>
      <c r="D67" s="73">
        <v>791.0</v>
      </c>
      <c r="E67" s="73">
        <v>-4937.0</v>
      </c>
      <c r="F67" s="68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5.0" customHeight="1">
      <c r="A68" s="67" t="s">
        <v>227</v>
      </c>
      <c r="B68" s="67" t="s">
        <v>164</v>
      </c>
      <c r="C68" s="67" t="s">
        <v>175</v>
      </c>
      <c r="D68" s="67" t="s">
        <v>175</v>
      </c>
      <c r="E68" s="67" t="s">
        <v>175</v>
      </c>
      <c r="F68" s="68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5.0" customHeight="1">
      <c r="A69" s="67" t="s">
        <v>228</v>
      </c>
      <c r="B69" s="67" t="s">
        <v>164</v>
      </c>
      <c r="C69" s="67" t="s">
        <v>175</v>
      </c>
      <c r="D69" s="67" t="s">
        <v>175</v>
      </c>
      <c r="E69" s="67" t="s">
        <v>175</v>
      </c>
      <c r="F69" s="68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5.0" customHeight="1">
      <c r="A70" s="67" t="s">
        <v>229</v>
      </c>
      <c r="B70" s="67" t="s">
        <v>164</v>
      </c>
      <c r="C70" s="67" t="s">
        <v>175</v>
      </c>
      <c r="D70" s="67" t="s">
        <v>175</v>
      </c>
      <c r="E70" s="67" t="s">
        <v>175</v>
      </c>
      <c r="F70" s="68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5.0" customHeight="1">
      <c r="A71" s="67" t="s">
        <v>230</v>
      </c>
      <c r="B71" s="67" t="s">
        <v>164</v>
      </c>
      <c r="C71" s="67" t="s">
        <v>175</v>
      </c>
      <c r="D71" s="67" t="s">
        <v>175</v>
      </c>
      <c r="E71" s="67" t="s">
        <v>175</v>
      </c>
      <c r="F71" s="68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5.0" customHeight="1">
      <c r="A72" s="67" t="s">
        <v>231</v>
      </c>
      <c r="B72" s="67" t="s">
        <v>164</v>
      </c>
      <c r="C72" s="73">
        <v>4520.0</v>
      </c>
      <c r="D72" s="73">
        <v>5776.0</v>
      </c>
      <c r="E72" s="73">
        <v>6785.0</v>
      </c>
      <c r="F72" s="68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3.5" customHeight="1">
      <c r="A73" s="67" t="s">
        <v>232</v>
      </c>
      <c r="B73" s="67" t="s">
        <v>164</v>
      </c>
      <c r="C73" s="73">
        <v>-4415.0</v>
      </c>
      <c r="D73" s="73">
        <v>-11163.0</v>
      </c>
      <c r="E73" s="73">
        <v>-20737.0</v>
      </c>
      <c r="F73" s="68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5.0" customHeight="1">
      <c r="A74" s="67" t="s">
        <v>233</v>
      </c>
      <c r="B74" s="67" t="s">
        <v>164</v>
      </c>
      <c r="C74" s="67" t="s">
        <v>175</v>
      </c>
      <c r="D74" s="67" t="s">
        <v>175</v>
      </c>
      <c r="E74" s="67" t="s">
        <v>175</v>
      </c>
      <c r="F74" s="68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9.5" customHeight="1">
      <c r="A75" s="67" t="s">
        <v>234</v>
      </c>
      <c r="B75" s="67" t="s">
        <v>164</v>
      </c>
      <c r="C75" s="73">
        <v>-452.0</v>
      </c>
      <c r="D75" s="73">
        <v>367.0</v>
      </c>
      <c r="E75" s="73">
        <v>1162.0</v>
      </c>
      <c r="F75" s="68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5.0" customHeight="1">
      <c r="A76" s="67" t="s">
        <v>235</v>
      </c>
      <c r="B76" s="67" t="s">
        <v>164</v>
      </c>
      <c r="C76" s="73">
        <v>-4867.0</v>
      </c>
      <c r="D76" s="73">
        <v>-10796.0</v>
      </c>
      <c r="E76" s="73">
        <v>-19575.0</v>
      </c>
      <c r="F76" s="68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5.0" customHeight="1">
      <c r="A77" s="67" t="s">
        <v>236</v>
      </c>
      <c r="B77" s="67" t="s">
        <v>164</v>
      </c>
      <c r="C77" s="67" t="s">
        <v>175</v>
      </c>
      <c r="D77" s="67" t="s">
        <v>175</v>
      </c>
      <c r="E77" s="67" t="s">
        <v>175</v>
      </c>
      <c r="F77" s="68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5.0" customHeight="1">
      <c r="A78" s="67" t="s">
        <v>237</v>
      </c>
      <c r="B78" s="67" t="s">
        <v>164</v>
      </c>
      <c r="C78" s="67" t="s">
        <v>175</v>
      </c>
      <c r="D78" s="67" t="s">
        <v>175</v>
      </c>
      <c r="E78" s="67" t="s">
        <v>175</v>
      </c>
      <c r="F78" s="68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5.0" customHeight="1">
      <c r="A79" s="67" t="s">
        <v>238</v>
      </c>
      <c r="B79" s="67" t="s">
        <v>164</v>
      </c>
      <c r="C79" s="67" t="s">
        <v>175</v>
      </c>
      <c r="D79" s="67" t="s">
        <v>175</v>
      </c>
      <c r="E79" s="67" t="s">
        <v>175</v>
      </c>
      <c r="F79" s="68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5.0" customHeight="1">
      <c r="A80" s="67" t="s">
        <v>239</v>
      </c>
      <c r="B80" s="67" t="s">
        <v>164</v>
      </c>
      <c r="C80" s="73">
        <v>422.0</v>
      </c>
      <c r="D80" s="73">
        <v>11830.0</v>
      </c>
      <c r="E80" s="73">
        <v>26350.0</v>
      </c>
      <c r="F80" s="68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5.0" customHeight="1">
      <c r="A81" s="67" t="s">
        <v>240</v>
      </c>
      <c r="B81" s="67" t="s">
        <v>164</v>
      </c>
      <c r="C81" s="67" t="s">
        <v>175</v>
      </c>
      <c r="D81" s="67" t="s">
        <v>175</v>
      </c>
      <c r="E81" s="67" t="s">
        <v>175</v>
      </c>
      <c r="F81" s="68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6.5" customHeight="1">
      <c r="A82" s="67" t="s">
        <v>241</v>
      </c>
      <c r="B82" s="67" t="s">
        <v>164</v>
      </c>
      <c r="C82" s="73">
        <v>75.0</v>
      </c>
      <c r="D82" s="73">
        <v>6810.0</v>
      </c>
      <c r="E82" s="73">
        <v>13560.0</v>
      </c>
      <c r="F82" s="68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6.5" customHeight="1">
      <c r="A83" s="74" t="s">
        <v>242</v>
      </c>
      <c r="B83" s="2"/>
      <c r="C83" s="2"/>
      <c r="D83" s="2"/>
      <c r="E83" s="3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02.75" customHeight="1">
      <c r="A84" s="75" t="s">
        <v>243</v>
      </c>
      <c r="B84" s="67"/>
      <c r="C84" s="76" t="s">
        <v>244</v>
      </c>
      <c r="D84" s="70"/>
      <c r="E84" s="70"/>
      <c r="F84" s="68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63.0" customHeight="1">
      <c r="A85" s="75" t="s">
        <v>245</v>
      </c>
      <c r="B85" s="67"/>
      <c r="C85" s="76" t="s">
        <v>246</v>
      </c>
      <c r="D85" s="70"/>
      <c r="E85" s="70"/>
      <c r="F85" s="68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84.75" customHeight="1">
      <c r="A86" s="75" t="s">
        <v>247</v>
      </c>
      <c r="B86" s="67"/>
      <c r="C86" s="76" t="s">
        <v>248</v>
      </c>
      <c r="D86" s="70"/>
      <c r="E86" s="70"/>
      <c r="F86" s="68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57.75" customHeight="1">
      <c r="A87" s="75" t="s">
        <v>249</v>
      </c>
      <c r="B87" s="67"/>
      <c r="C87" s="76" t="s">
        <v>250</v>
      </c>
      <c r="D87" s="70"/>
      <c r="E87" s="70"/>
      <c r="F87" s="68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5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5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5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5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5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5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5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5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5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5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5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5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5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  <row r="101" ht="15.75" customHeight="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</row>
    <row r="102" ht="15.75" customHeight="1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</row>
    <row r="103" ht="15.75" customHeight="1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</row>
    <row r="104" ht="15.75" customHeight="1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</row>
    <row r="105" ht="15.75" customHeight="1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</row>
    <row r="106" ht="15.75" customHeight="1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</row>
    <row r="107" ht="15.75" customHeight="1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</row>
    <row r="108" ht="15.75" customHeight="1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</row>
    <row r="109" ht="15.75" customHeight="1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</row>
    <row r="110" ht="15.75" customHeight="1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</row>
    <row r="111" ht="15.75" customHeight="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</row>
    <row r="112" ht="15.75" customHeight="1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</row>
    <row r="113" ht="15.75" customHeight="1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</row>
    <row r="114" ht="15.75" customHeight="1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</row>
    <row r="115" ht="15.75" customHeight="1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</row>
    <row r="116" ht="15.75" customHeight="1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</row>
    <row r="117" ht="15.75" customHeight="1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</row>
    <row r="118" ht="15.75" customHeight="1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</row>
    <row r="119" ht="15.75" customHeight="1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</row>
    <row r="120" ht="15.75" customHeight="1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</row>
    <row r="121" ht="15.75" customHeight="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</row>
    <row r="122" ht="15.75" customHeight="1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</row>
    <row r="123" ht="15.75" customHeight="1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</row>
    <row r="124" ht="15.75" customHeight="1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</row>
    <row r="125" ht="15.75" customHeight="1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</row>
    <row r="126" ht="15.75" customHeight="1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</row>
    <row r="127" ht="15.75" customHeight="1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</row>
    <row r="128" ht="15.75" customHeight="1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</row>
    <row r="129" ht="15.75" customHeight="1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</row>
    <row r="130" ht="15.75" customHeight="1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</row>
    <row r="131" ht="15.75" customHeight="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</row>
    <row r="132" ht="15.75" customHeight="1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</row>
    <row r="133" ht="15.75" customHeight="1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</row>
    <row r="134" ht="15.75" customHeight="1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</row>
    <row r="135" ht="15.75" customHeight="1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</row>
    <row r="136" ht="15.75" customHeight="1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</row>
    <row r="137" ht="15.75" customHeight="1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</row>
    <row r="138" ht="15.75" customHeight="1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</row>
    <row r="139" ht="15.75" customHeight="1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</row>
    <row r="140" ht="15.75" customHeight="1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</row>
    <row r="141" ht="15.75" customHeight="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</row>
    <row r="142" ht="15.75" customHeight="1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</row>
    <row r="143" ht="15.75" customHeight="1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</row>
    <row r="144" ht="15.75" customHeight="1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</row>
    <row r="145" ht="15.75" customHeight="1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</row>
    <row r="146" ht="15.75" customHeight="1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</row>
    <row r="147" ht="15.75" customHeight="1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</row>
    <row r="148" ht="15.75" customHeight="1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</row>
    <row r="149" ht="15.75" customHeight="1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</row>
    <row r="150" ht="15.75" customHeight="1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</row>
    <row r="151" ht="15.75" customHeight="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</row>
    <row r="152" ht="15.75" customHeight="1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</row>
    <row r="153" ht="15.75" customHeight="1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</row>
    <row r="154" ht="15.75" customHeight="1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</row>
    <row r="155" ht="15.75" customHeight="1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</row>
    <row r="156" ht="15.75" customHeight="1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</row>
    <row r="157" ht="15.75" customHeight="1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</row>
    <row r="158" ht="15.75" customHeight="1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</row>
    <row r="159" ht="15.75" customHeight="1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</row>
    <row r="160" ht="15.75" customHeight="1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</row>
    <row r="161" ht="15.75" customHeight="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</row>
    <row r="162" ht="15.75" customHeight="1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</row>
    <row r="163" ht="15.75" customHeight="1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</row>
    <row r="164" ht="15.75" customHeight="1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</row>
    <row r="165" ht="15.75" customHeight="1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</row>
    <row r="166" ht="15.75" customHeight="1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</row>
    <row r="167" ht="15.75" customHeight="1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</row>
    <row r="168" ht="15.75" customHeight="1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</row>
    <row r="169" ht="15.75" customHeight="1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</row>
    <row r="170" ht="15.75" customHeight="1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</row>
    <row r="171" ht="15.75" customHeight="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</row>
    <row r="172" ht="15.75" customHeight="1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</row>
    <row r="173" ht="15.75" customHeight="1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</row>
    <row r="174" ht="15.75" customHeight="1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</row>
    <row r="175" ht="15.75" customHeight="1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</row>
    <row r="176" ht="15.75" customHeight="1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</row>
    <row r="177" ht="15.75" customHeight="1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</row>
    <row r="178" ht="15.75" customHeight="1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</row>
    <row r="179" ht="15.75" customHeight="1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</row>
    <row r="180" ht="15.75" customHeight="1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</row>
    <row r="181" ht="15.75" customHeight="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</row>
    <row r="182" ht="15.75" customHeight="1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</row>
    <row r="183" ht="15.75" customHeight="1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</row>
    <row r="184" ht="15.75" customHeight="1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</row>
    <row r="185" ht="15.75" customHeight="1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</row>
    <row r="186" ht="15.75" customHeight="1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</row>
    <row r="187" ht="15.75" customHeight="1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</row>
    <row r="188" ht="15.75" customHeight="1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</row>
    <row r="189" ht="15.75" customHeight="1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</row>
    <row r="190" ht="15.75" customHeight="1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</row>
    <row r="191" ht="15.75" customHeight="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</row>
    <row r="192" ht="15.75" customHeight="1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</row>
    <row r="193" ht="15.75" customHeight="1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</row>
    <row r="194" ht="15.75" customHeight="1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</row>
    <row r="195" ht="15.75" customHeight="1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</row>
    <row r="196" ht="15.75" customHeight="1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</row>
    <row r="197" ht="15.75" customHeight="1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</row>
    <row r="198" ht="15.75" customHeight="1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</row>
    <row r="199" ht="15.75" customHeight="1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</row>
    <row r="200" ht="15.75" customHeight="1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</row>
    <row r="201" ht="15.75" customHeight="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</row>
    <row r="202" ht="15.75" customHeight="1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</row>
    <row r="203" ht="15.75" customHeight="1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</row>
    <row r="204" ht="15.75" customHeight="1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</row>
    <row r="205" ht="15.75" customHeight="1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</row>
    <row r="206" ht="15.75" customHeight="1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</row>
    <row r="207" ht="15.75" customHeight="1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</row>
    <row r="208" ht="15.75" customHeight="1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</row>
    <row r="209" ht="15.75" customHeight="1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</row>
    <row r="210" ht="15.75" customHeight="1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</row>
    <row r="211" ht="15.75" customHeight="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</row>
    <row r="212" ht="15.75" customHeight="1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</row>
    <row r="213" ht="15.75" customHeight="1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</row>
    <row r="214" ht="15.75" customHeight="1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</row>
    <row r="215" ht="15.75" customHeight="1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</row>
    <row r="216" ht="15.75" customHeight="1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</row>
    <row r="217" ht="15.75" customHeight="1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</row>
    <row r="218" ht="15.75" customHeight="1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</row>
    <row r="219" ht="15.75" customHeight="1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</row>
    <row r="220" ht="15.75" customHeight="1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</row>
    <row r="221" ht="15.75" customHeight="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</row>
    <row r="222" ht="15.75" customHeight="1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</row>
    <row r="223" ht="15.75" customHeight="1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</row>
    <row r="224" ht="15.75" customHeight="1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</row>
    <row r="225" ht="15.75" customHeight="1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</row>
    <row r="226" ht="15.75" customHeight="1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</row>
    <row r="227" ht="15.75" customHeight="1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</row>
    <row r="228" ht="15.75" customHeight="1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</row>
    <row r="229" ht="15.75" customHeight="1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</row>
    <row r="230" ht="15.75" customHeight="1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</row>
    <row r="231" ht="15.75" customHeight="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</row>
    <row r="232" ht="15.75" customHeight="1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</row>
    <row r="233" ht="15.75" customHeight="1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</row>
    <row r="234" ht="15.75" customHeight="1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</row>
    <row r="235" ht="15.75" customHeight="1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</row>
    <row r="236" ht="15.75" customHeight="1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</row>
    <row r="237" ht="15.75" customHeight="1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</row>
    <row r="238" ht="15.75" customHeight="1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</row>
    <row r="239" ht="15.75" customHeight="1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</row>
    <row r="240" ht="15.75" customHeight="1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</row>
    <row r="241" ht="15.75" customHeight="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</row>
    <row r="242" ht="15.75" customHeight="1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</row>
    <row r="243" ht="15.75" customHeight="1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</row>
    <row r="244" ht="15.75" customHeight="1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</row>
    <row r="245" ht="15.75" customHeight="1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</row>
    <row r="246" ht="15.75" customHeight="1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</row>
    <row r="247" ht="15.75" customHeight="1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</row>
    <row r="248" ht="15.75" customHeight="1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</row>
    <row r="249" ht="15.75" customHeight="1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</row>
    <row r="250" ht="15.75" customHeight="1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</row>
    <row r="251" ht="15.75" customHeight="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</row>
    <row r="252" ht="15.75" customHeight="1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</row>
    <row r="253" ht="15.75" customHeight="1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</row>
    <row r="254" ht="15.75" customHeight="1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</row>
    <row r="255" ht="15.75" customHeight="1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</row>
    <row r="256" ht="15.75" customHeight="1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</row>
    <row r="257" ht="15.75" customHeight="1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</row>
    <row r="258" ht="15.75" customHeight="1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</row>
    <row r="259" ht="15.75" customHeight="1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</row>
    <row r="260" ht="15.75" customHeight="1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</row>
    <row r="261" ht="15.75" customHeight="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</row>
    <row r="262" ht="15.75" customHeight="1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</row>
    <row r="263" ht="15.75" customHeight="1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</row>
    <row r="264" ht="15.75" customHeight="1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</row>
    <row r="265" ht="15.75" customHeight="1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</row>
    <row r="266" ht="15.75" customHeight="1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</row>
    <row r="267" ht="15.75" customHeight="1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</row>
    <row r="268" ht="15.75" customHeight="1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</row>
    <row r="269" ht="15.75" customHeight="1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</row>
    <row r="270" ht="15.75" customHeight="1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</row>
    <row r="271" ht="15.75" customHeight="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</row>
    <row r="272" ht="15.75" customHeight="1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</row>
    <row r="273" ht="15.75" customHeight="1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</row>
    <row r="274" ht="15.75" customHeight="1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</row>
    <row r="275" ht="15.75" customHeight="1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</row>
    <row r="276" ht="15.75" customHeight="1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</row>
    <row r="277" ht="15.75" customHeight="1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</row>
    <row r="278" ht="15.75" customHeight="1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</row>
    <row r="279" ht="15.75" customHeight="1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</row>
    <row r="280" ht="15.75" customHeight="1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</row>
    <row r="281" ht="15.75" customHeight="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</row>
    <row r="282" ht="15.75" customHeight="1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</row>
    <row r="283" ht="15.75" customHeight="1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</row>
    <row r="284" ht="15.75" customHeight="1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</row>
    <row r="285" ht="15.75" customHeight="1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</row>
    <row r="286" ht="15.75" customHeight="1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</row>
    <row r="287" ht="15.75" customHeight="1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</sheetData>
  <mergeCells count="7">
    <mergeCell ref="A1:E1"/>
    <mergeCell ref="A2:E2"/>
    <mergeCell ref="A3:E3"/>
    <mergeCell ref="A14:E14"/>
    <mergeCell ref="A40:E40"/>
    <mergeCell ref="A66:E66"/>
    <mergeCell ref="A83:E83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8.0"/>
    <col customWidth="1" min="3" max="10" width="12.0"/>
    <col customWidth="1" min="11" max="11" width="60.0"/>
  </cols>
  <sheetData>
    <row r="1" ht="20.25" customHeight="1">
      <c r="A1" s="5"/>
      <c r="B1" s="77" t="s">
        <v>251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5"/>
      <c r="B3" s="5"/>
      <c r="C3" s="78" t="s">
        <v>252</v>
      </c>
      <c r="D3" s="78" t="s">
        <v>253</v>
      </c>
      <c r="E3" s="78" t="s">
        <v>254</v>
      </c>
      <c r="F3" s="78" t="s">
        <v>255</v>
      </c>
      <c r="G3" s="78" t="s">
        <v>256</v>
      </c>
      <c r="H3" s="78" t="s">
        <v>257</v>
      </c>
      <c r="I3" s="78" t="s">
        <v>258</v>
      </c>
      <c r="J3" s="78" t="s">
        <v>259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79" t="s">
        <v>260</v>
      </c>
      <c r="C4" s="80"/>
      <c r="D4" s="80"/>
      <c r="E4" s="80"/>
      <c r="F4" s="80"/>
      <c r="G4" s="80"/>
      <c r="H4" s="80"/>
      <c r="I4" s="80"/>
      <c r="J4" s="81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4" t="s">
        <v>261</v>
      </c>
      <c r="C5" s="5"/>
      <c r="D5" s="5"/>
      <c r="E5" s="5"/>
      <c r="F5" s="82">
        <f>Assumptions!$E$7+(Assumptions!$E$8-Assumptions!$E$7)*0</f>
        <v>0.08</v>
      </c>
      <c r="G5" s="82">
        <f>Assumptions!$E$7+(Assumptions!$E$8-Assumptions!$E$7)*0.25</f>
        <v>0.09</v>
      </c>
      <c r="H5" s="82">
        <f>Assumptions!$E$7+(Assumptions!$E$8-Assumptions!$E$7)*0.5</f>
        <v>0.1</v>
      </c>
      <c r="I5" s="82">
        <f>Assumptions!$E$7+(Assumptions!$E$8-Assumptions!$E$7)*0.75</f>
        <v>0.11</v>
      </c>
      <c r="J5" s="82">
        <f>Assumptions!$E$7+(Assumptions!$E$8-Assumptions!$E$7)*1</f>
        <v>0.12</v>
      </c>
      <c r="K5" s="83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4" t="s">
        <v>262</v>
      </c>
      <c r="C6" s="84" t="str">
        <f>Input!C16</f>
        <v>n/a</v>
      </c>
      <c r="D6" s="84" t="str">
        <f>Input!D16</f>
        <v>n/a</v>
      </c>
      <c r="E6" s="84">
        <f>Input!E16</f>
        <v>4086</v>
      </c>
      <c r="F6" s="85">
        <f t="shared" ref="F6:J6" si="1">E6*(1+F5)</f>
        <v>4412.88</v>
      </c>
      <c r="G6" s="85">
        <f t="shared" si="1"/>
        <v>4810.0392</v>
      </c>
      <c r="H6" s="85">
        <f t="shared" si="1"/>
        <v>5291.04312</v>
      </c>
      <c r="I6" s="85">
        <f t="shared" si="1"/>
        <v>5873.057863</v>
      </c>
      <c r="J6" s="85">
        <f t="shared" si="1"/>
        <v>6577.824807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4" t="s">
        <v>263</v>
      </c>
      <c r="C7" s="86"/>
      <c r="D7" s="86"/>
      <c r="E7" s="86"/>
      <c r="F7" s="82">
        <f>Assumptions!$E$9+(Assumptions!$E$10-Assumptions!$E$9)*0</f>
        <v>0.35</v>
      </c>
      <c r="G7" s="82">
        <f>Assumptions!$E$9+(Assumptions!$E$10-Assumptions!$E$9)*0.25</f>
        <v>0.3</v>
      </c>
      <c r="H7" s="82">
        <f>Assumptions!$E$9+(Assumptions!$E$10-Assumptions!$E$9)*0.5</f>
        <v>0.25</v>
      </c>
      <c r="I7" s="82">
        <f>Assumptions!$E$9+(Assumptions!$E$10-Assumptions!$E$9)*0.75</f>
        <v>0.2</v>
      </c>
      <c r="J7" s="82">
        <f>Assumptions!$E$9+(Assumptions!$E$10-Assumptions!$E$9)*1</f>
        <v>0.15</v>
      </c>
      <c r="K7" s="87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4" t="s">
        <v>264</v>
      </c>
      <c r="C8" s="84" t="str">
        <f>Input!C17</f>
        <v>n/a</v>
      </c>
      <c r="D8" s="84" t="str">
        <f>Input!D17</f>
        <v>n/a</v>
      </c>
      <c r="E8" s="84">
        <f>Input!E17</f>
        <v>11387</v>
      </c>
      <c r="F8" s="85">
        <f t="shared" ref="F8:J8" si="2">E8*(1+F7)</f>
        <v>15372.45</v>
      </c>
      <c r="G8" s="85">
        <f t="shared" si="2"/>
        <v>19984.185</v>
      </c>
      <c r="H8" s="85">
        <f t="shared" si="2"/>
        <v>24980.23125</v>
      </c>
      <c r="I8" s="85">
        <f t="shared" si="2"/>
        <v>29976.2775</v>
      </c>
      <c r="J8" s="85">
        <f t="shared" si="2"/>
        <v>34472.71913</v>
      </c>
      <c r="K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4" t="s">
        <v>265</v>
      </c>
      <c r="C9" s="86"/>
      <c r="D9" s="86"/>
      <c r="E9" s="86"/>
      <c r="F9" s="82">
        <f>Assumptions!$E$11+(Assumptions!$E$12-Assumptions!$E$11)*0</f>
        <v>0.7</v>
      </c>
      <c r="G9" s="82">
        <f>Assumptions!$E$11+(Assumptions!$E$12-Assumptions!$E$11)*0.25</f>
        <v>0.5875</v>
      </c>
      <c r="H9" s="82">
        <f>Assumptions!$E$11+(Assumptions!$E$12-Assumptions!$E$11)*0.5</f>
        <v>0.475</v>
      </c>
      <c r="I9" s="82">
        <f>Assumptions!$E$11+(Assumptions!$E$12-Assumptions!$E$11)*0.75</f>
        <v>0.3625</v>
      </c>
      <c r="J9" s="82">
        <f>Assumptions!$E$11+(Assumptions!$E$12-Assumptions!$E$11)*1</f>
        <v>0.25</v>
      </c>
      <c r="K9" s="87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4" t="s">
        <v>266</v>
      </c>
      <c r="C10" s="84" t="str">
        <f>Input!C18</f>
        <v>n/a</v>
      </c>
      <c r="D10" s="84" t="str">
        <f>Input!D18</f>
        <v>n/a</v>
      </c>
      <c r="E10" s="84">
        <f>Input!E18</f>
        <v>3201</v>
      </c>
      <c r="F10" s="85">
        <f t="shared" ref="F10:J10" si="3">E10*(1+F9)</f>
        <v>5441.7</v>
      </c>
      <c r="G10" s="85">
        <f t="shared" si="3"/>
        <v>8638.69875</v>
      </c>
      <c r="H10" s="85">
        <f t="shared" si="3"/>
        <v>12742.08066</v>
      </c>
      <c r="I10" s="85">
        <f t="shared" si="3"/>
        <v>17361.08489</v>
      </c>
      <c r="J10" s="85">
        <f t="shared" si="3"/>
        <v>21701.35612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5"/>
      <c r="C11" s="86"/>
      <c r="D11" s="86"/>
      <c r="E11" s="86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4" t="s">
        <v>267</v>
      </c>
      <c r="C12" s="84">
        <f>Input!C15</f>
        <v>10387</v>
      </c>
      <c r="D12" s="84">
        <f>Input!D15</f>
        <v>14015</v>
      </c>
      <c r="E12" s="84">
        <f>Input!E15</f>
        <v>18674</v>
      </c>
      <c r="F12" s="85">
        <f t="shared" ref="F12:J12" si="4">SUM(F6,F8,F10)</f>
        <v>25227.03</v>
      </c>
      <c r="G12" s="85">
        <f t="shared" si="4"/>
        <v>33432.92295</v>
      </c>
      <c r="H12" s="85">
        <f t="shared" si="4"/>
        <v>43013.35503</v>
      </c>
      <c r="I12" s="85">
        <f t="shared" si="4"/>
        <v>53210.42026</v>
      </c>
      <c r="J12" s="85">
        <f t="shared" si="4"/>
        <v>62751.90005</v>
      </c>
      <c r="K12" s="88"/>
      <c r="L12" s="88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4" t="s">
        <v>268</v>
      </c>
      <c r="C13" s="5"/>
      <c r="D13" s="89">
        <f t="shared" ref="D13:J13" si="5">D12/C12-1</f>
        <v>0.3492827573</v>
      </c>
      <c r="E13" s="89">
        <f t="shared" si="5"/>
        <v>0.3324295398</v>
      </c>
      <c r="F13" s="89">
        <f t="shared" si="5"/>
        <v>0.3509173182</v>
      </c>
      <c r="G13" s="89">
        <f t="shared" si="5"/>
        <v>0.3252817692</v>
      </c>
      <c r="H13" s="89">
        <f t="shared" si="5"/>
        <v>0.2865568198</v>
      </c>
      <c r="I13" s="89">
        <f t="shared" si="5"/>
        <v>0.237067423</v>
      </c>
      <c r="J13" s="89">
        <f t="shared" si="5"/>
        <v>0.1793160014</v>
      </c>
      <c r="K13" s="5"/>
      <c r="L13" s="88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88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79" t="s">
        <v>269</v>
      </c>
      <c r="C15" s="80"/>
      <c r="D15" s="80"/>
      <c r="E15" s="80"/>
      <c r="F15" s="80"/>
      <c r="G15" s="80"/>
      <c r="H15" s="80"/>
      <c r="I15" s="80"/>
      <c r="J15" s="81"/>
      <c r="K15" s="5"/>
      <c r="L15" s="88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4" t="s">
        <v>270</v>
      </c>
      <c r="C16" s="84">
        <v>997.0</v>
      </c>
      <c r="D16" s="84">
        <v>1154.0</v>
      </c>
      <c r="E16" s="84">
        <v>653.0</v>
      </c>
      <c r="F16" s="5"/>
      <c r="G16" s="5"/>
      <c r="H16" s="5"/>
      <c r="I16" s="5"/>
      <c r="J16" s="5"/>
      <c r="K16" s="83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4" t="s">
        <v>271</v>
      </c>
      <c r="C17" s="5"/>
      <c r="D17" s="89"/>
      <c r="E17" s="89">
        <f>E16/E6</f>
        <v>0.159813999</v>
      </c>
      <c r="F17" s="82">
        <f>Assumptions!$E$14+(Assumptions!$E$15-Assumptions!$E$14)*0</f>
        <v>0.18</v>
      </c>
      <c r="G17" s="82">
        <f>Assumptions!$E$14+(Assumptions!$E$15-Assumptions!$E$14)*0.25</f>
        <v>0.195</v>
      </c>
      <c r="H17" s="82">
        <f>Assumptions!$E$14+(Assumptions!$E$15-Assumptions!$E$14)*0.5</f>
        <v>0.21</v>
      </c>
      <c r="I17" s="82">
        <f>Assumptions!$E$14+(Assumptions!$E$15-Assumptions!$E$14)*0.75</f>
        <v>0.225</v>
      </c>
      <c r="J17" s="82">
        <f>Assumptions!$E$14+(Assumptions!$E$15-Assumptions!$E$14)*1</f>
        <v>0.24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4" t="s">
        <v>272</v>
      </c>
      <c r="C18" s="85">
        <f t="shared" ref="C18:E18" si="6">C16</f>
        <v>997</v>
      </c>
      <c r="D18" s="85">
        <f t="shared" si="6"/>
        <v>1154</v>
      </c>
      <c r="E18" s="85">
        <f t="shared" si="6"/>
        <v>653</v>
      </c>
      <c r="F18" s="90">
        <f>F6*F17*(1-Assumptions!$E$33)</f>
        <v>778.432032</v>
      </c>
      <c r="G18" s="90">
        <f>G6*G17*(1-Assumptions!$E$33)</f>
        <v>919.1984911</v>
      </c>
      <c r="H18" s="90">
        <f>H6*H17*(1-Assumptions!$E$33)</f>
        <v>1088.896674</v>
      </c>
      <c r="I18" s="90">
        <f>I6*I17*(1-Assumptions!$E$33)</f>
        <v>1295.009259</v>
      </c>
      <c r="J18" s="90">
        <f>J6*J17*(1-Assumptions!$E$33)</f>
        <v>1547.104395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5"/>
      <c r="B19" s="4" t="s">
        <v>273</v>
      </c>
      <c r="C19" s="84">
        <v>1602.0</v>
      </c>
      <c r="D19" s="84">
        <v>3849.0</v>
      </c>
      <c r="E19" s="84">
        <v>7168.0</v>
      </c>
      <c r="F19" s="5"/>
      <c r="G19" s="5"/>
      <c r="H19" s="5"/>
      <c r="I19" s="5"/>
      <c r="J19" s="5"/>
      <c r="K19" s="83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5"/>
      <c r="B20" s="4" t="s">
        <v>274</v>
      </c>
      <c r="C20" s="5"/>
      <c r="D20" s="5"/>
      <c r="E20" s="89">
        <f>E19/E8</f>
        <v>0.629489769</v>
      </c>
      <c r="F20" s="82">
        <f>Assumptions!$E$16+(Assumptions!$E$17-Assumptions!$E$16)*0</f>
        <v>0.64</v>
      </c>
      <c r="G20" s="82">
        <f>Assumptions!$E$16+(Assumptions!$E$17-Assumptions!$E$16)*0.25</f>
        <v>0.65</v>
      </c>
      <c r="H20" s="82">
        <f>Assumptions!$E$16+(Assumptions!$E$17-Assumptions!$E$16)*0.5</f>
        <v>0.66</v>
      </c>
      <c r="I20" s="82">
        <f>Assumptions!$E$16+(Assumptions!$E$17-Assumptions!$E$16)*0.75</f>
        <v>0.67</v>
      </c>
      <c r="J20" s="82">
        <f>Assumptions!$E$16+(Assumptions!$E$17-Assumptions!$E$16)*1</f>
        <v>0.68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0" customHeight="1">
      <c r="A21" s="5"/>
      <c r="B21" s="4" t="s">
        <v>275</v>
      </c>
      <c r="C21" s="85">
        <f t="shared" ref="C21:E21" si="7">C19</f>
        <v>1602</v>
      </c>
      <c r="D21" s="85">
        <f t="shared" si="7"/>
        <v>3849</v>
      </c>
      <c r="E21" s="85">
        <f t="shared" si="7"/>
        <v>7168</v>
      </c>
      <c r="F21" s="90">
        <f>F8*F20*(1-Assumptions!$E$33)</f>
        <v>9641.60064</v>
      </c>
      <c r="G21" s="90">
        <f>G8*G20*(1-Assumptions!$E$33)</f>
        <v>12729.92585</v>
      </c>
      <c r="H21" s="90">
        <f>H8*H20*(1-Assumptions!$E$33)</f>
        <v>16157.21357</v>
      </c>
      <c r="I21" s="90">
        <f>I8*I20*(1-Assumptions!$E$33)</f>
        <v>19682.42381</v>
      </c>
      <c r="J21" s="90">
        <f>J8*J20*(1-Assumptions!$E$33)</f>
        <v>22972.62002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0" customHeight="1">
      <c r="A22" s="5"/>
      <c r="B22" s="4" t="s">
        <v>276</v>
      </c>
      <c r="C22" s="84">
        <v>1222.0</v>
      </c>
      <c r="D22" s="84">
        <v>347.0</v>
      </c>
      <c r="E22" s="84">
        <v>-1237.0</v>
      </c>
      <c r="F22" s="5"/>
      <c r="G22" s="5"/>
      <c r="H22" s="5"/>
      <c r="I22" s="5"/>
      <c r="J22" s="5"/>
      <c r="K22" s="83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0" customHeight="1">
      <c r="A23" s="5"/>
      <c r="B23" s="4" t="s">
        <v>277</v>
      </c>
      <c r="C23" s="5"/>
      <c r="D23" s="5"/>
      <c r="E23" s="89">
        <f>E22/E10</f>
        <v>-0.386441737</v>
      </c>
      <c r="F23" s="82">
        <f>Assumptions!$E$18+(Assumptions!$E$19-Assumptions!$E$18)*0</f>
        <v>-0.2</v>
      </c>
      <c r="G23" s="82">
        <f>Assumptions!$E$18+(Assumptions!$E$19-Assumptions!$E$18)*0.25</f>
        <v>-0.08</v>
      </c>
      <c r="H23" s="82">
        <f>Assumptions!$E$18+(Assumptions!$E$19-Assumptions!$E$18)*0.5</f>
        <v>0.04</v>
      </c>
      <c r="I23" s="82">
        <f>Assumptions!$E$18+(Assumptions!$E$19-Assumptions!$E$18)*0.75</f>
        <v>0.16</v>
      </c>
      <c r="J23" s="82">
        <f>Assumptions!$E$18+(Assumptions!$E$19-Assumptions!$E$18)*1</f>
        <v>0.28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0" customHeight="1">
      <c r="A24" s="5"/>
      <c r="B24" s="4" t="s">
        <v>278</v>
      </c>
      <c r="C24" s="85">
        <f t="shared" ref="C24:E24" si="8">C22</f>
        <v>1222</v>
      </c>
      <c r="D24" s="85">
        <f t="shared" si="8"/>
        <v>347</v>
      </c>
      <c r="E24" s="85">
        <f t="shared" si="8"/>
        <v>-1237</v>
      </c>
      <c r="F24" s="90">
        <f>F10*F23*(1-Assumptions!$E$33)</f>
        <v>-1066.5732</v>
      </c>
      <c r="G24" s="90">
        <f>G10*G23*(1-Assumptions!$E$33)</f>
        <v>-677.273982</v>
      </c>
      <c r="H24" s="90">
        <f>H10*H23*(1-Assumptions!$E$33)</f>
        <v>499.4895617</v>
      </c>
      <c r="I24" s="90">
        <f>I10*I23*(1-Assumptions!$E$33)</f>
        <v>2722.218111</v>
      </c>
      <c r="J24" s="90">
        <f>J10*J23*(1-Assumptions!$E$33)</f>
        <v>5954.852119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0" customHeight="1">
      <c r="A26" s="5"/>
      <c r="B26" s="4" t="s">
        <v>279</v>
      </c>
      <c r="C26" s="85">
        <f t="shared" ref="C26:J26" si="9">SUM(C18,C21,C24)</f>
        <v>3821</v>
      </c>
      <c r="D26" s="85">
        <f t="shared" si="9"/>
        <v>5350</v>
      </c>
      <c r="E26" s="85">
        <f t="shared" si="9"/>
        <v>6584</v>
      </c>
      <c r="F26" s="85">
        <f t="shared" si="9"/>
        <v>9353.459472</v>
      </c>
      <c r="G26" s="85">
        <f t="shared" si="9"/>
        <v>12971.85035</v>
      </c>
      <c r="H26" s="85">
        <f t="shared" si="9"/>
        <v>17745.59981</v>
      </c>
      <c r="I26" s="85">
        <f t="shared" si="9"/>
        <v>23699.65118</v>
      </c>
      <c r="J26" s="85">
        <f t="shared" si="9"/>
        <v>30474.57654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0" customHeight="1">
      <c r="A27" s="5"/>
      <c r="B27" s="4" t="s">
        <v>280</v>
      </c>
      <c r="C27" s="89">
        <f t="shared" ref="C27:J27" si="10">C26/C12</f>
        <v>0.3678636757</v>
      </c>
      <c r="D27" s="89">
        <f t="shared" si="10"/>
        <v>0.3817338566</v>
      </c>
      <c r="E27" s="89">
        <f t="shared" si="10"/>
        <v>0.3525757738</v>
      </c>
      <c r="F27" s="89">
        <f t="shared" si="10"/>
        <v>0.3707713303</v>
      </c>
      <c r="G27" s="89">
        <f t="shared" si="10"/>
        <v>0.3879962985</v>
      </c>
      <c r="H27" s="89">
        <f t="shared" si="10"/>
        <v>0.4125602339</v>
      </c>
      <c r="I27" s="89">
        <f t="shared" si="10"/>
        <v>0.4453949257</v>
      </c>
      <c r="J27" s="89">
        <f t="shared" si="10"/>
        <v>0.4856359172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0" customHeight="1">
      <c r="A29" s="5"/>
      <c r="B29" s="79" t="s">
        <v>281</v>
      </c>
      <c r="C29" s="80"/>
      <c r="D29" s="80"/>
      <c r="E29" s="80"/>
      <c r="F29" s="80"/>
      <c r="G29" s="80"/>
      <c r="H29" s="80"/>
      <c r="I29" s="80"/>
      <c r="J29" s="81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0" customHeight="1">
      <c r="A30" s="5"/>
      <c r="B30" s="4" t="s">
        <v>282</v>
      </c>
      <c r="C30" s="5"/>
      <c r="D30" s="5"/>
      <c r="E30" s="5"/>
      <c r="F30" s="85">
        <f>'BS &amp; CF Forecast'!F15</f>
        <v>5556.032544</v>
      </c>
      <c r="G30" s="85">
        <f>'BS &amp; CF Forecast'!G15</f>
        <v>7871.81114</v>
      </c>
      <c r="H30" s="85">
        <f>'BS &amp; CF Forecast'!H15</f>
        <v>10474.40902</v>
      </c>
      <c r="I30" s="85">
        <f>'BS &amp; CF Forecast'!I15</f>
        <v>12998.47806</v>
      </c>
      <c r="J30" s="85">
        <f>'BS &amp; CF Forecast'!J15</f>
        <v>14856.75726</v>
      </c>
      <c r="K30" s="83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0" customHeight="1">
      <c r="A31" s="5"/>
      <c r="B31" s="4" t="s">
        <v>283</v>
      </c>
      <c r="C31" s="5"/>
      <c r="D31" s="5"/>
      <c r="E31" s="5"/>
      <c r="F31" s="85">
        <f>'BS &amp; CF Forecast'!F18</f>
        <v>630.67575</v>
      </c>
      <c r="G31" s="85">
        <f>'BS &amp; CF Forecast'!G18</f>
        <v>835.8230738</v>
      </c>
      <c r="H31" s="85">
        <f>'BS &amp; CF Forecast'!H18</f>
        <v>1075.333876</v>
      </c>
      <c r="I31" s="85">
        <f>'BS &amp; CF Forecast'!I18</f>
        <v>1330.260506</v>
      </c>
      <c r="J31" s="85">
        <f>'BS &amp; CF Forecast'!J18</f>
        <v>1568.797501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0" customHeight="1">
      <c r="A32" s="5"/>
      <c r="B32" s="4" t="s">
        <v>284</v>
      </c>
      <c r="C32" s="84">
        <f>Input!C28</f>
        <v>-3505</v>
      </c>
      <c r="D32" s="84">
        <f>Input!D28</f>
        <v>466</v>
      </c>
      <c r="E32" s="84">
        <f>Input!E28</f>
        <v>-2589</v>
      </c>
      <c r="F32" s="85">
        <f t="shared" ref="F32:J32" si="11">F26-F30-F31</f>
        <v>3166.751178</v>
      </c>
      <c r="G32" s="85">
        <f t="shared" si="11"/>
        <v>4264.21614</v>
      </c>
      <c r="H32" s="85">
        <f t="shared" si="11"/>
        <v>6195.856916</v>
      </c>
      <c r="I32" s="85">
        <f t="shared" si="11"/>
        <v>9370.91261</v>
      </c>
      <c r="J32" s="85">
        <f t="shared" si="11"/>
        <v>14049.02177</v>
      </c>
      <c r="K32" s="83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0" customHeight="1">
      <c r="A33" s="5"/>
      <c r="B33" s="4" t="s">
        <v>285</v>
      </c>
      <c r="C33" s="89">
        <f t="shared" ref="C33:J33" si="12">C32/C12</f>
        <v>-0.3374410321</v>
      </c>
      <c r="D33" s="89">
        <f t="shared" si="12"/>
        <v>0.03325008919</v>
      </c>
      <c r="E33" s="89">
        <f t="shared" si="12"/>
        <v>-0.1386419621</v>
      </c>
      <c r="F33" s="89">
        <f t="shared" si="12"/>
        <v>0.1255300833</v>
      </c>
      <c r="G33" s="89">
        <f t="shared" si="12"/>
        <v>0.1275454182</v>
      </c>
      <c r="H33" s="89">
        <f t="shared" si="12"/>
        <v>0.1440449579</v>
      </c>
      <c r="I33" s="89">
        <f t="shared" si="12"/>
        <v>0.1761104792</v>
      </c>
      <c r="J33" s="89">
        <f t="shared" si="12"/>
        <v>0.2238820141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0" customHeight="1">
      <c r="A35" s="5"/>
      <c r="B35" s="79" t="s">
        <v>286</v>
      </c>
      <c r="C35" s="80"/>
      <c r="D35" s="80"/>
      <c r="E35" s="80"/>
      <c r="F35" s="80"/>
      <c r="G35" s="80"/>
      <c r="H35" s="80"/>
      <c r="I35" s="80"/>
      <c r="J35" s="81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0" customHeight="1">
      <c r="A36" s="5"/>
      <c r="B36" s="4" t="s">
        <v>287</v>
      </c>
      <c r="C36" s="5"/>
      <c r="D36" s="5"/>
      <c r="E36" s="5"/>
      <c r="F36" s="85">
        <f>'BS &amp; CF Forecast'!F25</f>
        <v>-1136.148</v>
      </c>
      <c r="G36" s="85">
        <f>'BS &amp; CF Forecast'!G25</f>
        <v>-1079.3406</v>
      </c>
      <c r="H36" s="85">
        <f>'BS &amp; CF Forecast'!H25</f>
        <v>-1025.37357</v>
      </c>
      <c r="I36" s="85">
        <f>'BS &amp; CF Forecast'!I25</f>
        <v>-974.1048915</v>
      </c>
      <c r="J36" s="85">
        <f>'BS &amp; CF Forecast'!J25</f>
        <v>-925.3996469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0" customHeight="1">
      <c r="A37" s="5"/>
      <c r="B37" s="4" t="s">
        <v>288</v>
      </c>
      <c r="C37" s="5"/>
      <c r="D37" s="5"/>
      <c r="E37" s="5"/>
      <c r="F37" s="85">
        <f>'BS &amp; CF Forecast'!F30</f>
        <v>3365.473012</v>
      </c>
      <c r="G37" s="85">
        <f>'BS &amp; CF Forecast'!G30</f>
        <v>2946.889019</v>
      </c>
      <c r="H37" s="85">
        <f>'BS &amp; CF Forecast'!H30</f>
        <v>2569.293636</v>
      </c>
      <c r="I37" s="85">
        <f>'BS &amp; CF Forecast'!I30</f>
        <v>2366.659742</v>
      </c>
      <c r="J37" s="85">
        <f>'BS &amp; CF Forecast'!J30</f>
        <v>2518.846401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0" customHeight="1">
      <c r="A38" s="5"/>
      <c r="B38" s="4" t="s">
        <v>289</v>
      </c>
      <c r="C38" s="5"/>
      <c r="D38" s="5"/>
      <c r="E38" s="5"/>
      <c r="F38" s="85">
        <f t="shared" ref="F38:J38" si="13">F32+F36+F37</f>
        <v>5396.07619</v>
      </c>
      <c r="G38" s="85">
        <f t="shared" si="13"/>
        <v>6131.76456</v>
      </c>
      <c r="H38" s="85">
        <f t="shared" si="13"/>
        <v>7739.776982</v>
      </c>
      <c r="I38" s="85">
        <f t="shared" si="13"/>
        <v>10763.46746</v>
      </c>
      <c r="J38" s="85">
        <f t="shared" si="13"/>
        <v>15642.46853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0" customHeight="1">
      <c r="A39" s="5"/>
      <c r="B39" s="4" t="s">
        <v>290</v>
      </c>
      <c r="C39" s="5"/>
      <c r="D39" s="5"/>
      <c r="E39" s="5"/>
      <c r="F39" s="82">
        <f>Assumptions!$E$37</f>
        <v>0.21</v>
      </c>
      <c r="G39" s="82">
        <f>Assumptions!$E$37</f>
        <v>0.21</v>
      </c>
      <c r="H39" s="82">
        <f>Assumptions!$E$37</f>
        <v>0.21</v>
      </c>
      <c r="I39" s="82">
        <f>Assumptions!$E$37</f>
        <v>0.21</v>
      </c>
      <c r="J39" s="82">
        <f>Assumptions!$E$37</f>
        <v>0.21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5.5" customHeight="1">
      <c r="A40" s="5"/>
      <c r="B40" s="4" t="s">
        <v>291</v>
      </c>
      <c r="C40" s="5"/>
      <c r="D40" s="5"/>
      <c r="E40" s="5"/>
      <c r="F40" s="85">
        <f t="shared" ref="F40:J40" si="14">MAX(F38,0)*F39</f>
        <v>1133.176</v>
      </c>
      <c r="G40" s="85">
        <f t="shared" si="14"/>
        <v>1287.670558</v>
      </c>
      <c r="H40" s="85">
        <f t="shared" si="14"/>
        <v>1625.353166</v>
      </c>
      <c r="I40" s="85">
        <f t="shared" si="14"/>
        <v>2260.328167</v>
      </c>
      <c r="J40" s="85">
        <f t="shared" si="14"/>
        <v>3284.918391</v>
      </c>
      <c r="K40" s="83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0" customHeight="1">
      <c r="A41" s="5"/>
      <c r="B41" s="4" t="s">
        <v>292</v>
      </c>
      <c r="C41" s="84">
        <f>Input!C34</f>
        <v>-4628</v>
      </c>
      <c r="D41" s="84">
        <f>Input!D34</f>
        <v>791</v>
      </c>
      <c r="E41" s="84">
        <f>Input!E34</f>
        <v>-4937</v>
      </c>
      <c r="F41" s="85">
        <f t="shared" ref="F41:J41" si="15">F38-F40</f>
        <v>4262.90019</v>
      </c>
      <c r="G41" s="85">
        <f t="shared" si="15"/>
        <v>4844.094002</v>
      </c>
      <c r="H41" s="85">
        <f t="shared" si="15"/>
        <v>6114.423816</v>
      </c>
      <c r="I41" s="85">
        <f t="shared" si="15"/>
        <v>8503.139294</v>
      </c>
      <c r="J41" s="85">
        <f t="shared" si="15"/>
        <v>12357.55014</v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0" customHeight="1">
      <c r="A42" s="5"/>
      <c r="B42" s="4" t="s">
        <v>293</v>
      </c>
      <c r="C42" s="89">
        <f t="shared" ref="C42:J42" si="16">C41/C12</f>
        <v>-0.4455569462</v>
      </c>
      <c r="D42" s="89">
        <f t="shared" si="16"/>
        <v>0.05643952908</v>
      </c>
      <c r="E42" s="89">
        <f t="shared" si="16"/>
        <v>-0.26437828</v>
      </c>
      <c r="F42" s="89">
        <f t="shared" si="16"/>
        <v>0.1689814532</v>
      </c>
      <c r="G42" s="89">
        <f t="shared" si="16"/>
        <v>0.1448899341</v>
      </c>
      <c r="H42" s="89">
        <f t="shared" si="16"/>
        <v>0.1421517529</v>
      </c>
      <c r="I42" s="89">
        <f t="shared" si="16"/>
        <v>0.159802145</v>
      </c>
      <c r="J42" s="89">
        <f t="shared" si="16"/>
        <v>0.196927107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0" customHeight="1">
      <c r="A44" s="5"/>
      <c r="B44" s="79" t="s">
        <v>294</v>
      </c>
      <c r="C44" s="80"/>
      <c r="D44" s="80"/>
      <c r="E44" s="80"/>
      <c r="F44" s="80"/>
      <c r="G44" s="80"/>
      <c r="H44" s="80"/>
      <c r="I44" s="80"/>
      <c r="J44" s="81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0" customHeight="1">
      <c r="A45" s="5"/>
      <c r="B45" s="4" t="s">
        <v>295</v>
      </c>
      <c r="C45" s="5"/>
      <c r="D45" s="5"/>
      <c r="E45" s="5"/>
      <c r="F45" s="90">
        <f>Assumptions!$E$68</f>
        <v>13075.9</v>
      </c>
      <c r="G45" s="90">
        <f>Assumptions!$E$68</f>
        <v>13075.9</v>
      </c>
      <c r="H45" s="90">
        <f>Assumptions!$E$68</f>
        <v>13075.9</v>
      </c>
      <c r="I45" s="90">
        <f>Assumptions!$E$68</f>
        <v>13075.9</v>
      </c>
      <c r="J45" s="90">
        <f>Assumptions!$E$68</f>
        <v>13075.9</v>
      </c>
      <c r="K45" s="83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0" customHeight="1">
      <c r="A46" s="5"/>
      <c r="B46" s="4" t="s">
        <v>296</v>
      </c>
      <c r="C46" s="91">
        <f>Input!C39</f>
        <v>-1.68</v>
      </c>
      <c r="D46" s="91">
        <f>Input!D39</f>
        <v>0</v>
      </c>
      <c r="E46" s="91">
        <f>Input!E39</f>
        <v>-1.69</v>
      </c>
      <c r="F46" s="92">
        <f t="shared" ref="F46:J46" si="17">F41/F45</f>
        <v>0.3260119908</v>
      </c>
      <c r="G46" s="92">
        <f t="shared" si="17"/>
        <v>0.3704597008</v>
      </c>
      <c r="H46" s="92">
        <f t="shared" si="17"/>
        <v>0.4676101695</v>
      </c>
      <c r="I46" s="92">
        <f t="shared" si="17"/>
        <v>0.6502909394</v>
      </c>
      <c r="J46" s="92">
        <f t="shared" si="17"/>
        <v>0.9450630653</v>
      </c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</row>
  </sheetData>
  <mergeCells count="6">
    <mergeCell ref="B1:J1"/>
    <mergeCell ref="B4:J4"/>
    <mergeCell ref="B15:J15"/>
    <mergeCell ref="B29:J29"/>
    <mergeCell ref="B35:J35"/>
    <mergeCell ref="B44:J44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8.0"/>
    <col customWidth="1" min="3" max="10" width="12.0"/>
    <col customWidth="1" min="11" max="11" width="60.0"/>
  </cols>
  <sheetData>
    <row r="1" ht="17.25" customHeight="1">
      <c r="A1" s="5"/>
      <c r="B1" s="77" t="s">
        <v>297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4.0" customHeight="1">
      <c r="A2" s="5"/>
      <c r="B2" s="93" t="s">
        <v>298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5"/>
      <c r="C4" s="78" t="s">
        <v>252</v>
      </c>
      <c r="D4" s="78" t="s">
        <v>253</v>
      </c>
      <c r="E4" s="78" t="s">
        <v>254</v>
      </c>
      <c r="F4" s="78" t="s">
        <v>255</v>
      </c>
      <c r="G4" s="78" t="s">
        <v>256</v>
      </c>
      <c r="H4" s="78" t="s">
        <v>257</v>
      </c>
      <c r="I4" s="78" t="s">
        <v>258</v>
      </c>
      <c r="J4" s="78" t="s">
        <v>259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79" t="s">
        <v>299</v>
      </c>
      <c r="C5" s="80"/>
      <c r="D5" s="80"/>
      <c r="E5" s="80"/>
      <c r="F5" s="80"/>
      <c r="G5" s="80"/>
      <c r="H5" s="80"/>
      <c r="I5" s="80"/>
      <c r="J5" s="81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4" t="s">
        <v>300</v>
      </c>
      <c r="C6" s="5"/>
      <c r="D6" s="5"/>
      <c r="E6" s="5"/>
      <c r="F6" s="84">
        <f>Input!E47</f>
        <v>42602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4" t="s">
        <v>301</v>
      </c>
      <c r="C7" s="5"/>
      <c r="D7" s="5"/>
      <c r="E7" s="5"/>
      <c r="F7" s="82">
        <f>Assumptions!$E$21+(Assumptions!$E$22-Assumptions!$E$21)*0</f>
        <v>0.85</v>
      </c>
      <c r="G7" s="82">
        <f>Assumptions!$E$21+(Assumptions!$E$22-Assumptions!$E$21)*0.25</f>
        <v>0.725</v>
      </c>
      <c r="H7" s="82">
        <f>Assumptions!$E$21+(Assumptions!$E$22-Assumptions!$E$21)*0.5</f>
        <v>0.6</v>
      </c>
      <c r="I7" s="82">
        <f>Assumptions!$E$21+(Assumptions!$E$22-Assumptions!$E$21)*0.75</f>
        <v>0.475</v>
      </c>
      <c r="J7" s="82">
        <f>Assumptions!$E$21+(Assumptions!$E$22-Assumptions!$E$21)*1</f>
        <v>0.35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4" t="s">
        <v>302</v>
      </c>
      <c r="C8" s="5"/>
      <c r="D8" s="5"/>
      <c r="E8" s="5"/>
      <c r="F8" s="85">
        <f>'IS Forecast'!F6*F7</f>
        <v>3750.948</v>
      </c>
      <c r="G8" s="85">
        <f>'IS Forecast'!G6*G7</f>
        <v>3487.27842</v>
      </c>
      <c r="H8" s="85">
        <f>'IS Forecast'!H6*H7</f>
        <v>3174.625872</v>
      </c>
      <c r="I8" s="85">
        <f>'IS Forecast'!I6*I7</f>
        <v>2789.702485</v>
      </c>
      <c r="J8" s="85">
        <f>'IS Forecast'!J6*J7</f>
        <v>2302.238682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4" t="s">
        <v>303</v>
      </c>
      <c r="C9" s="5"/>
      <c r="D9" s="5"/>
      <c r="E9" s="5"/>
      <c r="F9" s="82">
        <f>Assumptions!$E$23+(Assumptions!$E$24-Assumptions!$E$23)*0</f>
        <v>0.33</v>
      </c>
      <c r="G9" s="82">
        <f>Assumptions!$E$23+(Assumptions!$E$24-Assumptions!$E$23)*0.25</f>
        <v>0.285</v>
      </c>
      <c r="H9" s="82">
        <f>Assumptions!$E$23+(Assumptions!$E$24-Assumptions!$E$23)*0.5</f>
        <v>0.24</v>
      </c>
      <c r="I9" s="82">
        <f>Assumptions!$E$23+(Assumptions!$E$24-Assumptions!$E$23)*0.75</f>
        <v>0.195</v>
      </c>
      <c r="J9" s="82">
        <f>Assumptions!$E$23+(Assumptions!$E$24-Assumptions!$E$23)*1</f>
        <v>0.15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4" t="s">
        <v>304</v>
      </c>
      <c r="C10" s="5"/>
      <c r="D10" s="5"/>
      <c r="E10" s="5"/>
      <c r="F10" s="85">
        <f>'IS Forecast'!F8*F9</f>
        <v>5072.9085</v>
      </c>
      <c r="G10" s="85">
        <f>'IS Forecast'!G8*G9</f>
        <v>5695.492725</v>
      </c>
      <c r="H10" s="85">
        <f>'IS Forecast'!H8*H9</f>
        <v>5995.2555</v>
      </c>
      <c r="I10" s="85">
        <f>'IS Forecast'!I8*I9</f>
        <v>5845.374113</v>
      </c>
      <c r="J10" s="85">
        <f>'IS Forecast'!J8*J9</f>
        <v>5170.907869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4" t="s">
        <v>305</v>
      </c>
      <c r="C11" s="5"/>
      <c r="D11" s="5"/>
      <c r="E11" s="5"/>
      <c r="F11" s="82">
        <f>Assumptions!$E$25+(Assumptions!$E$26-Assumptions!$E$25)*0</f>
        <v>2</v>
      </c>
      <c r="G11" s="82">
        <f>Assumptions!$E$25+(Assumptions!$E$26-Assumptions!$E$25)*0.25</f>
        <v>1.625</v>
      </c>
      <c r="H11" s="82">
        <f>Assumptions!$E$25+(Assumptions!$E$26-Assumptions!$E$25)*0.5</f>
        <v>1.25</v>
      </c>
      <c r="I11" s="82">
        <f>Assumptions!$E$25+(Assumptions!$E$26-Assumptions!$E$25)*0.75</f>
        <v>0.875</v>
      </c>
      <c r="J11" s="82">
        <f>Assumptions!$E$25+(Assumptions!$E$26-Assumptions!$E$25)*1</f>
        <v>0.5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4" t="s">
        <v>306</v>
      </c>
      <c r="C12" s="5"/>
      <c r="D12" s="5"/>
      <c r="E12" s="5"/>
      <c r="F12" s="85">
        <f>'IS Forecast'!F10*F11</f>
        <v>10883.4</v>
      </c>
      <c r="G12" s="85">
        <f>'IS Forecast'!G10*G11</f>
        <v>14037.88547</v>
      </c>
      <c r="H12" s="85">
        <f>'IS Forecast'!H10*H11</f>
        <v>15927.60082</v>
      </c>
      <c r="I12" s="85">
        <f>'IS Forecast'!I10*I11</f>
        <v>15190.94928</v>
      </c>
      <c r="J12" s="85">
        <f>'IS Forecast'!J10*J11</f>
        <v>10850.67806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4" t="s">
        <v>307</v>
      </c>
      <c r="C13" s="5"/>
      <c r="D13" s="5"/>
      <c r="E13" s="5"/>
      <c r="F13" s="85">
        <f t="shared" ref="F13:J13" si="1">F8+F10+F12</f>
        <v>19707.2565</v>
      </c>
      <c r="G13" s="85">
        <f t="shared" si="1"/>
        <v>23220.65661</v>
      </c>
      <c r="H13" s="85">
        <f t="shared" si="1"/>
        <v>25097.48219</v>
      </c>
      <c r="I13" s="85">
        <f t="shared" si="1"/>
        <v>23826.02588</v>
      </c>
      <c r="J13" s="85">
        <f t="shared" si="1"/>
        <v>18323.82461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4" t="s">
        <v>308</v>
      </c>
      <c r="C14" s="5"/>
      <c r="D14" s="5"/>
      <c r="E14" s="5"/>
      <c r="F14" s="94">
        <f>('IS Forecast'!F6/'IS Forecast'!F12)*Assumptions!$E$28+('IS Forecast'!F8/'IS Forecast'!F12)*Assumptions!$E$29+('IS Forecast'!F10/'IS Forecast'!F12)*Assumptions!$E$30</f>
        <v>7.667701668</v>
      </c>
      <c r="G14" s="94">
        <f>('IS Forecast'!G6/'IS Forecast'!G12)*Assumptions!$E$28+('IS Forecast'!G8/'IS Forecast'!G12)*Assumptions!$E$29+('IS Forecast'!G10/'IS Forecast'!G12)*Assumptions!$E$30</f>
        <v>7.209678046</v>
      </c>
      <c r="H14" s="94">
        <f>('IS Forecast'!H6/'IS Forecast'!H12)*Assumptions!$E$28+('IS Forecast'!H8/'IS Forecast'!H12)*Assumptions!$E$29+('IS Forecast'!H10/'IS Forecast'!H12)*Assumptions!$E$30</f>
        <v>6.883640816</v>
      </c>
      <c r="I14" s="94">
        <f>('IS Forecast'!I6/'IS Forecast'!I12)*Assumptions!$E$28+('IS Forecast'!I8/'IS Forecast'!I12)*Assumptions!$E$29+('IS Forecast'!I10/'IS Forecast'!I12)*Assumptions!$E$30</f>
        <v>6.671945916</v>
      </c>
      <c r="J14" s="94">
        <f>('IS Forecast'!J6/'IS Forecast'!J12)*Assumptions!$E$28+('IS Forecast'!J8/'IS Forecast'!J12)*Assumptions!$E$29+('IS Forecast'!J10/'IS Forecast'!J12)*Assumptions!$E$30</f>
        <v>6.566216886</v>
      </c>
      <c r="K14" s="87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4" t="s">
        <v>309</v>
      </c>
      <c r="C15" s="5"/>
      <c r="D15" s="5"/>
      <c r="E15" s="5"/>
      <c r="F15" s="85">
        <f>F6/F14</f>
        <v>5556.032544</v>
      </c>
      <c r="G15" s="85">
        <f t="shared" ref="G15:J15" si="2">F16/G14</f>
        <v>7871.81114</v>
      </c>
      <c r="H15" s="85">
        <f t="shared" si="2"/>
        <v>10474.40902</v>
      </c>
      <c r="I15" s="85">
        <f t="shared" si="2"/>
        <v>12998.47806</v>
      </c>
      <c r="J15" s="85">
        <f t="shared" si="2"/>
        <v>14856.75726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4" t="s">
        <v>310</v>
      </c>
      <c r="C16" s="5"/>
      <c r="D16" s="5"/>
      <c r="E16" s="5"/>
      <c r="F16" s="85">
        <f>F6+F13-F15</f>
        <v>56753.22396</v>
      </c>
      <c r="G16" s="85">
        <f t="shared" ref="G16:J16" si="3">F16+G13-G15</f>
        <v>72102.06943</v>
      </c>
      <c r="H16" s="85">
        <f t="shared" si="3"/>
        <v>86725.14261</v>
      </c>
      <c r="I16" s="85">
        <f t="shared" si="3"/>
        <v>97552.69043</v>
      </c>
      <c r="J16" s="85">
        <f t="shared" si="3"/>
        <v>101019.7578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4" t="s">
        <v>311</v>
      </c>
      <c r="C17" s="5"/>
      <c r="D17" s="5"/>
      <c r="E17" s="5"/>
      <c r="F17" s="82">
        <f>Assumptions!$E$32</f>
        <v>0.025</v>
      </c>
      <c r="G17" s="82">
        <f>Assumptions!$E$32</f>
        <v>0.025</v>
      </c>
      <c r="H17" s="82">
        <f>Assumptions!$E$32</f>
        <v>0.025</v>
      </c>
      <c r="I17" s="82">
        <f>Assumptions!$E$32</f>
        <v>0.025</v>
      </c>
      <c r="J17" s="82">
        <f>Assumptions!$E$32</f>
        <v>0.025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4" t="s">
        <v>283</v>
      </c>
      <c r="C18" s="5"/>
      <c r="D18" s="5"/>
      <c r="E18" s="5"/>
      <c r="F18" s="85">
        <f>'IS Forecast'!F12*F17</f>
        <v>630.67575</v>
      </c>
      <c r="G18" s="85">
        <f>'IS Forecast'!G12*G17</f>
        <v>835.8230738</v>
      </c>
      <c r="H18" s="85">
        <f>'IS Forecast'!H12*H17</f>
        <v>1075.333876</v>
      </c>
      <c r="I18" s="85">
        <f>'IS Forecast'!I12*I17</f>
        <v>1330.260506</v>
      </c>
      <c r="J18" s="85">
        <f>'IS Forecast'!J12*J17</f>
        <v>1568.797501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5"/>
      <c r="B20" s="79" t="s">
        <v>312</v>
      </c>
      <c r="C20" s="80"/>
      <c r="D20" s="80"/>
      <c r="E20" s="80"/>
      <c r="F20" s="80"/>
      <c r="G20" s="80"/>
      <c r="H20" s="80"/>
      <c r="I20" s="80"/>
      <c r="J20" s="81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0" customHeight="1">
      <c r="A21" s="5"/>
      <c r="B21" s="4" t="s">
        <v>313</v>
      </c>
      <c r="C21" s="5"/>
      <c r="D21" s="5"/>
      <c r="E21" s="5"/>
      <c r="F21" s="90">
        <f>Assumptions!$E$62</f>
        <v>29132</v>
      </c>
      <c r="G21" s="85">
        <f t="shared" ref="G21:J21" si="4">F23</f>
        <v>27675.4</v>
      </c>
      <c r="H21" s="85">
        <f t="shared" si="4"/>
        <v>26291.63</v>
      </c>
      <c r="I21" s="85">
        <f t="shared" si="4"/>
        <v>24977.0485</v>
      </c>
      <c r="J21" s="85">
        <f t="shared" si="4"/>
        <v>23728.19608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0" customHeight="1">
      <c r="A22" s="5"/>
      <c r="B22" s="4" t="s">
        <v>314</v>
      </c>
      <c r="C22" s="5"/>
      <c r="D22" s="5"/>
      <c r="E22" s="5"/>
      <c r="F22" s="90">
        <f>F21*Assumptions!$E$43</f>
        <v>1456.6</v>
      </c>
      <c r="G22" s="90">
        <f>G21*Assumptions!$E$43</f>
        <v>1383.77</v>
      </c>
      <c r="H22" s="90">
        <f>H21*Assumptions!$E$43</f>
        <v>1314.5815</v>
      </c>
      <c r="I22" s="90">
        <f>I21*Assumptions!$E$43</f>
        <v>1248.852425</v>
      </c>
      <c r="J22" s="90">
        <f>J21*Assumptions!$E$43</f>
        <v>1186.409804</v>
      </c>
      <c r="K22" s="9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0" customHeight="1">
      <c r="A23" s="5"/>
      <c r="B23" s="4" t="s">
        <v>315</v>
      </c>
      <c r="C23" s="5"/>
      <c r="D23" s="5"/>
      <c r="E23" s="5"/>
      <c r="F23" s="85">
        <f t="shared" ref="F23:J23" si="5">F21-F22</f>
        <v>27675.4</v>
      </c>
      <c r="G23" s="85">
        <f t="shared" si="5"/>
        <v>26291.63</v>
      </c>
      <c r="H23" s="85">
        <f t="shared" si="5"/>
        <v>24977.0485</v>
      </c>
      <c r="I23" s="85">
        <f t="shared" si="5"/>
        <v>23728.19608</v>
      </c>
      <c r="J23" s="85">
        <f t="shared" si="5"/>
        <v>22541.78627</v>
      </c>
      <c r="K23" s="9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0" customHeight="1">
      <c r="A24" s="5"/>
      <c r="B24" s="4" t="s">
        <v>316</v>
      </c>
      <c r="C24" s="5"/>
      <c r="D24" s="5"/>
      <c r="E24" s="5"/>
      <c r="F24" s="85">
        <f t="shared" ref="F24:J24" si="6">AVERAGE(F21,F23)</f>
        <v>28403.7</v>
      </c>
      <c r="G24" s="85">
        <f t="shared" si="6"/>
        <v>26983.515</v>
      </c>
      <c r="H24" s="85">
        <f t="shared" si="6"/>
        <v>25634.33925</v>
      </c>
      <c r="I24" s="85">
        <f t="shared" si="6"/>
        <v>24352.62229</v>
      </c>
      <c r="J24" s="85">
        <f t="shared" si="6"/>
        <v>23134.99117</v>
      </c>
      <c r="K24" s="9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0" customHeight="1">
      <c r="A25" s="5"/>
      <c r="B25" s="4" t="s">
        <v>287</v>
      </c>
      <c r="C25" s="5"/>
      <c r="D25" s="5"/>
      <c r="E25" s="5"/>
      <c r="F25" s="90">
        <f>-F24*Assumptions!$E$42</f>
        <v>-1136.148</v>
      </c>
      <c r="G25" s="90">
        <f>-G24*Assumptions!$E$42</f>
        <v>-1079.3406</v>
      </c>
      <c r="H25" s="90">
        <f>-H24*Assumptions!$E$42</f>
        <v>-1025.37357</v>
      </c>
      <c r="I25" s="90">
        <f>-I24*Assumptions!$E$42</f>
        <v>-974.1048915</v>
      </c>
      <c r="J25" s="90">
        <f>-J24*Assumptions!$E$42</f>
        <v>-925.3996469</v>
      </c>
      <c r="K25" s="96" t="s">
        <v>317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9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0" customHeight="1">
      <c r="A27" s="5"/>
      <c r="B27" s="79" t="s">
        <v>318</v>
      </c>
      <c r="C27" s="80"/>
      <c r="D27" s="80"/>
      <c r="E27" s="80"/>
      <c r="F27" s="80"/>
      <c r="G27" s="80"/>
      <c r="H27" s="80"/>
      <c r="I27" s="80"/>
      <c r="J27" s="81"/>
      <c r="K27" s="9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0" customHeight="1">
      <c r="A28" s="5"/>
      <c r="B28" s="4" t="s">
        <v>319</v>
      </c>
      <c r="C28" s="5"/>
      <c r="D28" s="5"/>
      <c r="E28" s="5"/>
      <c r="F28" s="90">
        <f>Assumptions!$E$65</f>
        <v>90252</v>
      </c>
      <c r="G28" s="85">
        <f t="shared" ref="G28:J28" si="7">F59</f>
        <v>79782.81735</v>
      </c>
      <c r="H28" s="85">
        <f t="shared" si="7"/>
        <v>69036.99687</v>
      </c>
      <c r="I28" s="85">
        <f t="shared" si="7"/>
        <v>60647.3818</v>
      </c>
      <c r="J28" s="85">
        <f t="shared" si="7"/>
        <v>58785.72366</v>
      </c>
      <c r="K28" s="9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0" customHeight="1">
      <c r="A29" s="5"/>
      <c r="B29" s="4" t="s">
        <v>320</v>
      </c>
      <c r="C29" s="5"/>
      <c r="D29" s="5"/>
      <c r="E29" s="5"/>
      <c r="F29" s="97">
        <f>Assumptions!$E$42</f>
        <v>0.04</v>
      </c>
      <c r="G29" s="97">
        <f>Assumptions!$E$42</f>
        <v>0.04</v>
      </c>
      <c r="H29" s="97">
        <f>Assumptions!$E$42</f>
        <v>0.04</v>
      </c>
      <c r="I29" s="97">
        <f>Assumptions!$E$42</f>
        <v>0.04</v>
      </c>
      <c r="J29" s="97">
        <f>Assumptions!$E$42</f>
        <v>0.04</v>
      </c>
      <c r="K29" s="9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0" customHeight="1">
      <c r="A30" s="5"/>
      <c r="B30" s="4" t="s">
        <v>288</v>
      </c>
      <c r="C30" s="5"/>
      <c r="D30" s="5"/>
      <c r="E30" s="5"/>
      <c r="F30" s="85">
        <f t="shared" ref="F30:J30" si="8">AVERAGE(F28,F31)*F29</f>
        <v>3365.473012</v>
      </c>
      <c r="G30" s="85">
        <f t="shared" si="8"/>
        <v>2946.889019</v>
      </c>
      <c r="H30" s="85">
        <f t="shared" si="8"/>
        <v>2569.293636</v>
      </c>
      <c r="I30" s="85">
        <f t="shared" si="8"/>
        <v>2366.659742</v>
      </c>
      <c r="J30" s="85">
        <f t="shared" si="8"/>
        <v>2518.846401</v>
      </c>
      <c r="K30" s="96" t="s">
        <v>321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24" t="s">
        <v>322</v>
      </c>
      <c r="C31" s="5"/>
      <c r="D31" s="5"/>
      <c r="E31" s="5"/>
      <c r="F31" s="90">
        <f>F28+('IS Forecast'!F32*(1-Assumptions!$E$37)+F15+F18+F46)+(-F13)+(-F22)</f>
        <v>78021.65059</v>
      </c>
      <c r="G31" s="90">
        <f>F59+('IS Forecast'!G32*(1-Assumptions!$E$37)+G15+G18+G46)+(-G13)+(-G22)</f>
        <v>67561.63362</v>
      </c>
      <c r="H31" s="90">
        <f>G59+('IS Forecast'!H32*(1-Assumptions!$E$37)+H15+H18+H46)+(-H13)+(-H22)</f>
        <v>59427.68494</v>
      </c>
      <c r="I31" s="90">
        <f>H59+('IS Forecast'!I32*(1-Assumptions!$E$37)+I15+I18+I46)+(-I13)+(-I22)</f>
        <v>57685.60532</v>
      </c>
      <c r="J31" s="90">
        <f>I59+('IS Forecast'!J32*(1-Assumptions!$E$37)+J15+J18+J46)+(-J13)+(-J22)</f>
        <v>67156.59641</v>
      </c>
      <c r="K31" s="9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0" customHeight="1">
      <c r="A32" s="5"/>
      <c r="B32" s="79" t="s">
        <v>323</v>
      </c>
      <c r="C32" s="80"/>
      <c r="D32" s="80"/>
      <c r="E32" s="80"/>
      <c r="F32" s="80"/>
      <c r="G32" s="80"/>
      <c r="H32" s="80"/>
      <c r="I32" s="80"/>
      <c r="J32" s="81"/>
      <c r="K32" s="9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0" customHeight="1">
      <c r="A33" s="5"/>
      <c r="B33" s="4" t="s">
        <v>324</v>
      </c>
      <c r="C33" s="5"/>
      <c r="D33" s="5"/>
      <c r="E33" s="98">
        <f>Assumptions!$E$34</f>
        <v>20</v>
      </c>
      <c r="F33" s="98">
        <f>Assumptions!$E$34</f>
        <v>20</v>
      </c>
      <c r="G33" s="98">
        <f>Assumptions!$E$34</f>
        <v>20</v>
      </c>
      <c r="H33" s="98">
        <f>Assumptions!$E$34</f>
        <v>20</v>
      </c>
      <c r="I33" s="98">
        <f>Assumptions!$E$34</f>
        <v>20</v>
      </c>
      <c r="J33" s="98">
        <f>Assumptions!$E$34</f>
        <v>20</v>
      </c>
      <c r="K33" s="9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0" customHeight="1">
      <c r="A34" s="5"/>
      <c r="B34" s="4" t="s">
        <v>325</v>
      </c>
      <c r="C34" s="5"/>
      <c r="D34" s="5"/>
      <c r="E34" s="85">
        <f>Input!E15/365*E33</f>
        <v>1023.232877</v>
      </c>
      <c r="F34" s="85">
        <f>'IS Forecast'!F12/365*F33</f>
        <v>1382.303014</v>
      </c>
      <c r="G34" s="85">
        <f>'IS Forecast'!G12/365*G33</f>
        <v>1831.940984</v>
      </c>
      <c r="H34" s="85">
        <f>'IS Forecast'!H12/365*H33</f>
        <v>2356.896166</v>
      </c>
      <c r="I34" s="85">
        <f>'IS Forecast'!I12/365*I33</f>
        <v>2915.639466</v>
      </c>
      <c r="J34" s="85">
        <f>'IS Forecast'!J12/365*J33</f>
        <v>3438.460277</v>
      </c>
      <c r="K34" s="9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0" customHeight="1">
      <c r="A35" s="5"/>
      <c r="B35" s="4" t="s">
        <v>87</v>
      </c>
      <c r="C35" s="5"/>
      <c r="D35" s="5"/>
      <c r="E35" s="98">
        <f>Assumptions!$E$35</f>
        <v>15</v>
      </c>
      <c r="F35" s="98">
        <f>Assumptions!$E$35</f>
        <v>15</v>
      </c>
      <c r="G35" s="98">
        <f>Assumptions!$E$35</f>
        <v>15</v>
      </c>
      <c r="H35" s="98">
        <f>Assumptions!$E$35</f>
        <v>15</v>
      </c>
      <c r="I35" s="98">
        <f>Assumptions!$E$35</f>
        <v>15</v>
      </c>
      <c r="J35" s="98">
        <f>Assumptions!$E$35</f>
        <v>15</v>
      </c>
      <c r="K35" s="9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0" customHeight="1">
      <c r="A36" s="5"/>
      <c r="B36" s="4" t="s">
        <v>326</v>
      </c>
      <c r="C36" s="5"/>
      <c r="D36" s="5"/>
      <c r="E36" s="85">
        <f>Input!E15/365*E35</f>
        <v>767.4246575</v>
      </c>
      <c r="F36" s="85">
        <f>'IS Forecast'!F12/365*F35</f>
        <v>1036.72726</v>
      </c>
      <c r="G36" s="85">
        <f>'IS Forecast'!G12/365*G35</f>
        <v>1373.955738</v>
      </c>
      <c r="H36" s="85">
        <f>'IS Forecast'!H12/365*H35</f>
        <v>1767.672124</v>
      </c>
      <c r="I36" s="85">
        <f>'IS Forecast'!I12/365*I35</f>
        <v>2186.7296</v>
      </c>
      <c r="J36" s="85">
        <f>'IS Forecast'!J12/365*J35</f>
        <v>2578.845208</v>
      </c>
      <c r="K36" s="9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0" customHeight="1">
      <c r="A37" s="5"/>
      <c r="B37" s="4" t="s">
        <v>327</v>
      </c>
      <c r="C37" s="5"/>
      <c r="D37" s="5"/>
      <c r="E37" s="82">
        <f>Assumptions!$E$39</f>
        <v>0.04</v>
      </c>
      <c r="F37" s="82">
        <f>Assumptions!$E$39</f>
        <v>0.04</v>
      </c>
      <c r="G37" s="82">
        <f>Assumptions!$E$39</f>
        <v>0.04</v>
      </c>
      <c r="H37" s="82">
        <f>Assumptions!$E$39</f>
        <v>0.04</v>
      </c>
      <c r="I37" s="82">
        <f>Assumptions!$E$39</f>
        <v>0.04</v>
      </c>
      <c r="J37" s="82">
        <f>Assumptions!$E$39</f>
        <v>0.04</v>
      </c>
      <c r="K37" s="9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0" customHeight="1">
      <c r="A38" s="5"/>
      <c r="B38" s="4" t="s">
        <v>328</v>
      </c>
      <c r="C38" s="5"/>
      <c r="D38" s="5"/>
      <c r="E38" s="85">
        <f>Input!E15*E37</f>
        <v>746.96</v>
      </c>
      <c r="F38" s="85">
        <f>'IS Forecast'!F12*F37</f>
        <v>1009.0812</v>
      </c>
      <c r="G38" s="85">
        <f>'IS Forecast'!G12*G37</f>
        <v>1337.316918</v>
      </c>
      <c r="H38" s="85">
        <f>'IS Forecast'!H12*H37</f>
        <v>1720.534201</v>
      </c>
      <c r="I38" s="85">
        <f>'IS Forecast'!I12*I37</f>
        <v>2128.41681</v>
      </c>
      <c r="J38" s="85">
        <f>'IS Forecast'!J12*J37</f>
        <v>2510.076002</v>
      </c>
      <c r="K38" s="9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0" customHeight="1">
      <c r="A39" s="5"/>
      <c r="B39" s="4" t="s">
        <v>329</v>
      </c>
      <c r="C39" s="5"/>
      <c r="D39" s="5"/>
      <c r="E39" s="85">
        <f t="shared" ref="E39:J39" si="9">SUM(E34,E36,E38)</f>
        <v>2537.617534</v>
      </c>
      <c r="F39" s="85">
        <f t="shared" si="9"/>
        <v>3428.111474</v>
      </c>
      <c r="G39" s="85">
        <f t="shared" si="9"/>
        <v>4543.213639</v>
      </c>
      <c r="H39" s="85">
        <f t="shared" si="9"/>
        <v>5845.102491</v>
      </c>
      <c r="I39" s="85">
        <f t="shared" si="9"/>
        <v>7230.785876</v>
      </c>
      <c r="J39" s="85">
        <f t="shared" si="9"/>
        <v>8527.381486</v>
      </c>
      <c r="K39" s="9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0" customHeight="1">
      <c r="A40" s="5"/>
      <c r="B40" s="4" t="s">
        <v>89</v>
      </c>
      <c r="C40" s="5"/>
      <c r="D40" s="5"/>
      <c r="E40" s="98">
        <f>Assumptions!$E$36</f>
        <v>45</v>
      </c>
      <c r="F40" s="98">
        <f>Assumptions!$E$36</f>
        <v>45</v>
      </c>
      <c r="G40" s="98">
        <f>Assumptions!$E$36</f>
        <v>45</v>
      </c>
      <c r="H40" s="98">
        <f>Assumptions!$E$36</f>
        <v>45</v>
      </c>
      <c r="I40" s="98">
        <f>Assumptions!$E$36</f>
        <v>45</v>
      </c>
      <c r="J40" s="98">
        <f>Assumptions!$E$36</f>
        <v>45</v>
      </c>
      <c r="K40" s="9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0" customHeight="1">
      <c r="A41" s="5"/>
      <c r="B41" s="4" t="s">
        <v>330</v>
      </c>
      <c r="C41" s="5"/>
      <c r="D41" s="5"/>
      <c r="E41" s="85">
        <f>Input!E15/365*E40</f>
        <v>2302.273973</v>
      </c>
      <c r="F41" s="85">
        <f>'IS Forecast'!F12/365*F40</f>
        <v>3110.181781</v>
      </c>
      <c r="G41" s="85">
        <f>'IS Forecast'!G12/365*G40</f>
        <v>4121.867213</v>
      </c>
      <c r="H41" s="85">
        <f>'IS Forecast'!H12/365*H40</f>
        <v>5303.016373</v>
      </c>
      <c r="I41" s="85">
        <f>'IS Forecast'!I12/365*I40</f>
        <v>6560.188799</v>
      </c>
      <c r="J41" s="85">
        <f>'IS Forecast'!J12/365*J40</f>
        <v>7736.535623</v>
      </c>
      <c r="K41" s="9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0" customHeight="1">
      <c r="A42" s="5"/>
      <c r="B42" s="4" t="s">
        <v>331</v>
      </c>
      <c r="C42" s="5"/>
      <c r="D42" s="5"/>
      <c r="E42" s="82">
        <f>Assumptions!$E$40</f>
        <v>0.05</v>
      </c>
      <c r="F42" s="82">
        <f>Assumptions!$E$40</f>
        <v>0.05</v>
      </c>
      <c r="G42" s="82">
        <f>Assumptions!$E$40</f>
        <v>0.05</v>
      </c>
      <c r="H42" s="82">
        <f>Assumptions!$E$40</f>
        <v>0.05</v>
      </c>
      <c r="I42" s="82">
        <f>Assumptions!$E$40</f>
        <v>0.05</v>
      </c>
      <c r="J42" s="82">
        <f>Assumptions!$E$40</f>
        <v>0.05</v>
      </c>
      <c r="K42" s="9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0" customHeight="1">
      <c r="A43" s="5"/>
      <c r="B43" s="4" t="s">
        <v>332</v>
      </c>
      <c r="C43" s="5"/>
      <c r="D43" s="5"/>
      <c r="E43" s="85">
        <f>Input!E15*E42</f>
        <v>933.7</v>
      </c>
      <c r="F43" s="85">
        <f>'IS Forecast'!F12*F42</f>
        <v>1261.3515</v>
      </c>
      <c r="G43" s="85">
        <f>'IS Forecast'!G12*G42</f>
        <v>1671.646148</v>
      </c>
      <c r="H43" s="85">
        <f>'IS Forecast'!H12*H42</f>
        <v>2150.667751</v>
      </c>
      <c r="I43" s="85">
        <f>'IS Forecast'!I12*I42</f>
        <v>2660.521013</v>
      </c>
      <c r="J43" s="85">
        <f>'IS Forecast'!J12*J42</f>
        <v>3137.595002</v>
      </c>
      <c r="K43" s="9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0" customHeight="1">
      <c r="A44" s="5"/>
      <c r="B44" s="4" t="s">
        <v>333</v>
      </c>
      <c r="C44" s="5"/>
      <c r="D44" s="5"/>
      <c r="E44" s="85">
        <f t="shared" ref="E44:J44" si="10">SUM(E41,E43)</f>
        <v>3235.973973</v>
      </c>
      <c r="F44" s="85">
        <f t="shared" si="10"/>
        <v>4371.533281</v>
      </c>
      <c r="G44" s="85">
        <f t="shared" si="10"/>
        <v>5793.513361</v>
      </c>
      <c r="H44" s="85">
        <f t="shared" si="10"/>
        <v>7453.684124</v>
      </c>
      <c r="I44" s="85">
        <f t="shared" si="10"/>
        <v>9220.709812</v>
      </c>
      <c r="J44" s="85">
        <f t="shared" si="10"/>
        <v>10874.13063</v>
      </c>
      <c r="K44" s="9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0" customHeight="1">
      <c r="A45" s="5"/>
      <c r="B45" s="4" t="s">
        <v>334</v>
      </c>
      <c r="C45" s="5"/>
      <c r="D45" s="5"/>
      <c r="E45" s="85">
        <f t="shared" ref="E45:J45" si="11">E39-E44</f>
        <v>-698.3564384</v>
      </c>
      <c r="F45" s="85">
        <f t="shared" si="11"/>
        <v>-943.4218068</v>
      </c>
      <c r="G45" s="85">
        <f t="shared" si="11"/>
        <v>-1250.299721</v>
      </c>
      <c r="H45" s="85">
        <f t="shared" si="11"/>
        <v>-1608.581633</v>
      </c>
      <c r="I45" s="85">
        <f t="shared" si="11"/>
        <v>-1989.923936</v>
      </c>
      <c r="J45" s="85">
        <f t="shared" si="11"/>
        <v>-2346.749139</v>
      </c>
      <c r="K45" s="9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0" customHeight="1">
      <c r="A46" s="5"/>
      <c r="B46" s="4" t="s">
        <v>335</v>
      </c>
      <c r="C46" s="5"/>
      <c r="D46" s="5"/>
      <c r="E46" s="5"/>
      <c r="F46" s="85">
        <f t="shared" ref="F46:J46" si="12">-(F45-E45)</f>
        <v>245.0653685</v>
      </c>
      <c r="G46" s="85">
        <f t="shared" si="12"/>
        <v>306.8779144</v>
      </c>
      <c r="H46" s="85">
        <f t="shared" si="12"/>
        <v>358.2819119</v>
      </c>
      <c r="I46" s="85">
        <f t="shared" si="12"/>
        <v>381.3423025</v>
      </c>
      <c r="J46" s="85">
        <f t="shared" si="12"/>
        <v>356.8252032</v>
      </c>
      <c r="K46" s="9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9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0" customHeight="1">
      <c r="A48" s="5"/>
      <c r="B48" s="79" t="s">
        <v>336</v>
      </c>
      <c r="C48" s="80"/>
      <c r="D48" s="80"/>
      <c r="E48" s="80"/>
      <c r="F48" s="80"/>
      <c r="G48" s="80"/>
      <c r="H48" s="80"/>
      <c r="I48" s="80"/>
      <c r="J48" s="81"/>
      <c r="K48" s="9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0" customHeight="1">
      <c r="A49" s="5"/>
      <c r="B49" s="4" t="s">
        <v>292</v>
      </c>
      <c r="C49" s="5"/>
      <c r="D49" s="5"/>
      <c r="E49" s="5"/>
      <c r="F49" s="99">
        <f>'IS Forecast'!F41</f>
        <v>4262.90019</v>
      </c>
      <c r="G49" s="99">
        <f>'IS Forecast'!G41</f>
        <v>4844.094002</v>
      </c>
      <c r="H49" s="99">
        <f>'IS Forecast'!H41</f>
        <v>6114.423816</v>
      </c>
      <c r="I49" s="99">
        <f>'IS Forecast'!I41</f>
        <v>8503.139294</v>
      </c>
      <c r="J49" s="99">
        <f>'IS Forecast'!J41</f>
        <v>12357.55014</v>
      </c>
      <c r="K49" s="9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0" customHeight="1">
      <c r="A50" s="5"/>
      <c r="B50" s="4" t="s">
        <v>337</v>
      </c>
      <c r="C50" s="5"/>
      <c r="D50" s="5"/>
      <c r="E50" s="5"/>
      <c r="F50" s="85">
        <f t="shared" ref="F50:J50" si="13">F15</f>
        <v>5556.032544</v>
      </c>
      <c r="G50" s="85">
        <f t="shared" si="13"/>
        <v>7871.81114</v>
      </c>
      <c r="H50" s="85">
        <f t="shared" si="13"/>
        <v>10474.40902</v>
      </c>
      <c r="I50" s="85">
        <f t="shared" si="13"/>
        <v>12998.47806</v>
      </c>
      <c r="J50" s="85">
        <f t="shared" si="13"/>
        <v>14856.75726</v>
      </c>
      <c r="K50" s="9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0" customHeight="1">
      <c r="A51" s="5"/>
      <c r="B51" s="4" t="s">
        <v>338</v>
      </c>
      <c r="C51" s="5"/>
      <c r="D51" s="5"/>
      <c r="E51" s="5"/>
      <c r="F51" s="85">
        <f t="shared" ref="F51:J51" si="14">F18</f>
        <v>630.67575</v>
      </c>
      <c r="G51" s="85">
        <f t="shared" si="14"/>
        <v>835.8230738</v>
      </c>
      <c r="H51" s="85">
        <f t="shared" si="14"/>
        <v>1075.333876</v>
      </c>
      <c r="I51" s="85">
        <f t="shared" si="14"/>
        <v>1330.260506</v>
      </c>
      <c r="J51" s="85">
        <f t="shared" si="14"/>
        <v>1568.797501</v>
      </c>
      <c r="K51" s="9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0" customHeight="1">
      <c r="A52" s="5"/>
      <c r="B52" s="4" t="s">
        <v>339</v>
      </c>
      <c r="C52" s="5"/>
      <c r="D52" s="5"/>
      <c r="E52" s="5"/>
      <c r="F52" s="85">
        <f t="shared" ref="F52:J52" si="15">F46</f>
        <v>245.0653685</v>
      </c>
      <c r="G52" s="85">
        <f t="shared" si="15"/>
        <v>306.8779144</v>
      </c>
      <c r="H52" s="85">
        <f t="shared" si="15"/>
        <v>358.2819119</v>
      </c>
      <c r="I52" s="85">
        <f t="shared" si="15"/>
        <v>381.3423025</v>
      </c>
      <c r="J52" s="85">
        <f t="shared" si="15"/>
        <v>356.8252032</v>
      </c>
      <c r="K52" s="9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0" customHeight="1">
      <c r="A53" s="5"/>
      <c r="B53" s="4" t="s">
        <v>340</v>
      </c>
      <c r="C53" s="5"/>
      <c r="D53" s="5"/>
      <c r="E53" s="5"/>
      <c r="F53" s="85">
        <f t="shared" ref="F53:J53" si="16">SUM(F49:F52)</f>
        <v>10694.67385</v>
      </c>
      <c r="G53" s="85">
        <f t="shared" si="16"/>
        <v>13858.60613</v>
      </c>
      <c r="H53" s="85">
        <f t="shared" si="16"/>
        <v>18022.44862</v>
      </c>
      <c r="I53" s="85">
        <f t="shared" si="16"/>
        <v>23213.22016</v>
      </c>
      <c r="J53" s="85">
        <f t="shared" si="16"/>
        <v>29139.93011</v>
      </c>
      <c r="K53" s="9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0" customHeight="1">
      <c r="A54" s="5"/>
      <c r="B54" s="4" t="s">
        <v>341</v>
      </c>
      <c r="C54" s="5"/>
      <c r="D54" s="5"/>
      <c r="E54" s="5"/>
      <c r="F54" s="85">
        <f t="shared" ref="F54:J54" si="17">-F13</f>
        <v>-19707.2565</v>
      </c>
      <c r="G54" s="85">
        <f t="shared" si="17"/>
        <v>-23220.65661</v>
      </c>
      <c r="H54" s="85">
        <f t="shared" si="17"/>
        <v>-25097.48219</v>
      </c>
      <c r="I54" s="85">
        <f t="shared" si="17"/>
        <v>-23826.02588</v>
      </c>
      <c r="J54" s="85">
        <f t="shared" si="17"/>
        <v>-18323.82461</v>
      </c>
      <c r="K54" s="9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0" customHeight="1">
      <c r="A55" s="5"/>
      <c r="B55" s="4" t="s">
        <v>342</v>
      </c>
      <c r="C55" s="5"/>
      <c r="D55" s="5"/>
      <c r="E55" s="5"/>
      <c r="F55" s="85">
        <f t="shared" ref="F55:J55" si="18">F54</f>
        <v>-19707.2565</v>
      </c>
      <c r="G55" s="85">
        <f t="shared" si="18"/>
        <v>-23220.65661</v>
      </c>
      <c r="H55" s="85">
        <f t="shared" si="18"/>
        <v>-25097.48219</v>
      </c>
      <c r="I55" s="85">
        <f t="shared" si="18"/>
        <v>-23826.02588</v>
      </c>
      <c r="J55" s="85">
        <f t="shared" si="18"/>
        <v>-18323.82461</v>
      </c>
      <c r="K55" s="9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0" customHeight="1">
      <c r="A56" s="5"/>
      <c r="B56" s="4" t="s">
        <v>343</v>
      </c>
      <c r="C56" s="5"/>
      <c r="D56" s="5"/>
      <c r="E56" s="5"/>
      <c r="F56" s="85">
        <f t="shared" ref="F56:J56" si="19">-F22</f>
        <v>-1456.6</v>
      </c>
      <c r="G56" s="85">
        <f t="shared" si="19"/>
        <v>-1383.77</v>
      </c>
      <c r="H56" s="85">
        <f t="shared" si="19"/>
        <v>-1314.5815</v>
      </c>
      <c r="I56" s="85">
        <f t="shared" si="19"/>
        <v>-1248.852425</v>
      </c>
      <c r="J56" s="85">
        <f t="shared" si="19"/>
        <v>-1186.409804</v>
      </c>
      <c r="K56" s="9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0" customHeight="1">
      <c r="A57" s="5"/>
      <c r="B57" s="4" t="s">
        <v>344</v>
      </c>
      <c r="C57" s="5"/>
      <c r="D57" s="5"/>
      <c r="E57" s="5"/>
      <c r="F57" s="85">
        <f t="shared" ref="F57:J57" si="20">F56</f>
        <v>-1456.6</v>
      </c>
      <c r="G57" s="85">
        <f t="shared" si="20"/>
        <v>-1383.77</v>
      </c>
      <c r="H57" s="85">
        <f t="shared" si="20"/>
        <v>-1314.5815</v>
      </c>
      <c r="I57" s="85">
        <f t="shared" si="20"/>
        <v>-1248.852425</v>
      </c>
      <c r="J57" s="85">
        <f t="shared" si="20"/>
        <v>-1186.409804</v>
      </c>
      <c r="K57" s="96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0" customHeight="1">
      <c r="A58" s="5"/>
      <c r="B58" s="4" t="s">
        <v>345</v>
      </c>
      <c r="C58" s="5"/>
      <c r="D58" s="5"/>
      <c r="E58" s="5"/>
      <c r="F58" s="85">
        <f t="shared" ref="F58:J58" si="21">F53+F55+F57</f>
        <v>-10469.18265</v>
      </c>
      <c r="G58" s="85">
        <f t="shared" si="21"/>
        <v>-10745.82048</v>
      </c>
      <c r="H58" s="85">
        <f t="shared" si="21"/>
        <v>-8389.615072</v>
      </c>
      <c r="I58" s="85">
        <f t="shared" si="21"/>
        <v>-1861.658142</v>
      </c>
      <c r="J58" s="85">
        <f t="shared" si="21"/>
        <v>9629.695691</v>
      </c>
      <c r="K58" s="9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0" customHeight="1">
      <c r="A59" s="5"/>
      <c r="B59" s="4" t="s">
        <v>346</v>
      </c>
      <c r="C59" s="5"/>
      <c r="D59" s="5"/>
      <c r="E59" s="5"/>
      <c r="F59" s="85">
        <f t="shared" ref="F59:J59" si="22">F28+F58</f>
        <v>79782.81735</v>
      </c>
      <c r="G59" s="85">
        <f t="shared" si="22"/>
        <v>69036.99687</v>
      </c>
      <c r="H59" s="85">
        <f t="shared" si="22"/>
        <v>60647.3818</v>
      </c>
      <c r="I59" s="85">
        <f t="shared" si="22"/>
        <v>58785.72366</v>
      </c>
      <c r="J59" s="85">
        <f t="shared" si="22"/>
        <v>68415.41935</v>
      </c>
      <c r="K59" s="9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9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0" customHeight="1">
      <c r="A61" s="5"/>
      <c r="B61" s="79" t="s">
        <v>347</v>
      </c>
      <c r="C61" s="80"/>
      <c r="D61" s="80"/>
      <c r="E61" s="80"/>
      <c r="F61" s="80"/>
      <c r="G61" s="80"/>
      <c r="H61" s="80"/>
      <c r="I61" s="80"/>
      <c r="J61" s="81"/>
      <c r="K61" s="9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0" customHeight="1">
      <c r="A62" s="5"/>
      <c r="B62" s="4" t="s">
        <v>348</v>
      </c>
      <c r="C62" s="5"/>
      <c r="D62" s="5"/>
      <c r="E62" s="5"/>
      <c r="F62" s="85">
        <f t="shared" ref="F62:J62" si="23">F59</f>
        <v>79782.81735</v>
      </c>
      <c r="G62" s="85">
        <f t="shared" si="23"/>
        <v>69036.99687</v>
      </c>
      <c r="H62" s="85">
        <f t="shared" si="23"/>
        <v>60647.3818</v>
      </c>
      <c r="I62" s="85">
        <f t="shared" si="23"/>
        <v>58785.72366</v>
      </c>
      <c r="J62" s="85">
        <f t="shared" si="23"/>
        <v>68415.41935</v>
      </c>
      <c r="K62" s="9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0" customHeight="1">
      <c r="A63" s="5"/>
      <c r="B63" s="4" t="s">
        <v>329</v>
      </c>
      <c r="C63" s="5"/>
      <c r="D63" s="5"/>
      <c r="E63" s="5"/>
      <c r="F63" s="85">
        <f t="shared" ref="F63:J63" si="24">F39</f>
        <v>3428.111474</v>
      </c>
      <c r="G63" s="85">
        <f t="shared" si="24"/>
        <v>4543.213639</v>
      </c>
      <c r="H63" s="85">
        <f t="shared" si="24"/>
        <v>5845.102491</v>
      </c>
      <c r="I63" s="85">
        <f t="shared" si="24"/>
        <v>7230.785876</v>
      </c>
      <c r="J63" s="85">
        <f t="shared" si="24"/>
        <v>8527.381486</v>
      </c>
      <c r="K63" s="9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0" customHeight="1">
      <c r="A64" s="5"/>
      <c r="B64" s="4" t="s">
        <v>349</v>
      </c>
      <c r="C64" s="5"/>
      <c r="D64" s="5"/>
      <c r="E64" s="5"/>
      <c r="F64" s="85">
        <f t="shared" ref="F64:J64" si="25">F16</f>
        <v>56753.22396</v>
      </c>
      <c r="G64" s="85">
        <f t="shared" si="25"/>
        <v>72102.06943</v>
      </c>
      <c r="H64" s="85">
        <f t="shared" si="25"/>
        <v>86725.14261</v>
      </c>
      <c r="I64" s="85">
        <f t="shared" si="25"/>
        <v>97552.69043</v>
      </c>
      <c r="J64" s="85">
        <f t="shared" si="25"/>
        <v>101019.7578</v>
      </c>
      <c r="K64" s="9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0" customHeight="1">
      <c r="A65" s="5"/>
      <c r="B65" s="4" t="s">
        <v>350</v>
      </c>
      <c r="C65" s="5"/>
      <c r="D65" s="5"/>
      <c r="E65" s="5"/>
      <c r="F65" s="85">
        <f t="shared" ref="F65:J65" si="26">SUM(F62:F64)</f>
        <v>139964.1528</v>
      </c>
      <c r="G65" s="85">
        <f t="shared" si="26"/>
        <v>145682.2799</v>
      </c>
      <c r="H65" s="85">
        <f t="shared" si="26"/>
        <v>153217.6269</v>
      </c>
      <c r="I65" s="85">
        <f t="shared" si="26"/>
        <v>163569.2</v>
      </c>
      <c r="J65" s="85">
        <f t="shared" si="26"/>
        <v>177962.5586</v>
      </c>
      <c r="K65" s="9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0" customHeight="1">
      <c r="A66" s="5"/>
      <c r="B66" s="4" t="s">
        <v>333</v>
      </c>
      <c r="C66" s="5"/>
      <c r="D66" s="5"/>
      <c r="E66" s="5"/>
      <c r="F66" s="85">
        <f t="shared" ref="F66:J66" si="27">F44</f>
        <v>4371.533281</v>
      </c>
      <c r="G66" s="85">
        <f t="shared" si="27"/>
        <v>5793.513361</v>
      </c>
      <c r="H66" s="85">
        <f t="shared" si="27"/>
        <v>7453.684124</v>
      </c>
      <c r="I66" s="85">
        <f t="shared" si="27"/>
        <v>9220.709812</v>
      </c>
      <c r="J66" s="85">
        <f t="shared" si="27"/>
        <v>10874.13063</v>
      </c>
      <c r="K66" s="9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0" customHeight="1">
      <c r="A67" s="5"/>
      <c r="B67" s="4" t="s">
        <v>351</v>
      </c>
      <c r="C67" s="5"/>
      <c r="D67" s="5"/>
      <c r="E67" s="5"/>
      <c r="F67" s="85">
        <f t="shared" ref="F67:J67" si="28">F23</f>
        <v>27675.4</v>
      </c>
      <c r="G67" s="85">
        <f t="shared" si="28"/>
        <v>26291.63</v>
      </c>
      <c r="H67" s="85">
        <f t="shared" si="28"/>
        <v>24977.0485</v>
      </c>
      <c r="I67" s="85">
        <f t="shared" si="28"/>
        <v>23728.19608</v>
      </c>
      <c r="J67" s="85">
        <f t="shared" si="28"/>
        <v>22541.78627</v>
      </c>
      <c r="K67" s="9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0" customHeight="1">
      <c r="A68" s="5"/>
      <c r="B68" s="4" t="s">
        <v>352</v>
      </c>
      <c r="C68" s="5"/>
      <c r="D68" s="5"/>
      <c r="E68" s="5"/>
      <c r="F68" s="85">
        <f t="shared" ref="F68:J68" si="29">F66+F67</f>
        <v>32046.93328</v>
      </c>
      <c r="G68" s="85">
        <f t="shared" si="29"/>
        <v>32085.14336</v>
      </c>
      <c r="H68" s="85">
        <f t="shared" si="29"/>
        <v>32430.73262</v>
      </c>
      <c r="I68" s="85">
        <f t="shared" si="29"/>
        <v>32948.90589</v>
      </c>
      <c r="J68" s="85">
        <f t="shared" si="29"/>
        <v>33415.9169</v>
      </c>
      <c r="K68" s="9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0" customHeight="1">
      <c r="A69" s="5"/>
      <c r="B69" s="4" t="s">
        <v>353</v>
      </c>
      <c r="C69" s="5"/>
      <c r="D69" s="5"/>
      <c r="E69" s="5"/>
      <c r="F69" s="90">
        <f>F65-F68-'IS Forecast'!F41-F18</f>
        <v>103023.6436</v>
      </c>
      <c r="G69" s="85">
        <f t="shared" ref="G69:J69" si="30">F72</f>
        <v>107917.2195</v>
      </c>
      <c r="H69" s="85">
        <f t="shared" si="30"/>
        <v>113597.1366</v>
      </c>
      <c r="I69" s="85">
        <f t="shared" si="30"/>
        <v>120786.8943</v>
      </c>
      <c r="J69" s="85">
        <f t="shared" si="30"/>
        <v>130620.2941</v>
      </c>
      <c r="K69" s="9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0" customHeight="1">
      <c r="A70" s="5"/>
      <c r="B70" s="4" t="s">
        <v>354</v>
      </c>
      <c r="C70" s="5"/>
      <c r="D70" s="5"/>
      <c r="E70" s="5"/>
      <c r="F70" s="85">
        <f>'IS Forecast'!F41</f>
        <v>4262.90019</v>
      </c>
      <c r="G70" s="85">
        <f>'IS Forecast'!G41</f>
        <v>4844.094002</v>
      </c>
      <c r="H70" s="85">
        <f>'IS Forecast'!H41</f>
        <v>6114.423816</v>
      </c>
      <c r="I70" s="85">
        <f>'IS Forecast'!I41</f>
        <v>8503.139294</v>
      </c>
      <c r="J70" s="85">
        <f>'IS Forecast'!J41</f>
        <v>12357.55014</v>
      </c>
      <c r="K70" s="9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23.25" customHeight="1">
      <c r="A71" s="5"/>
      <c r="B71" s="4" t="s">
        <v>355</v>
      </c>
      <c r="C71" s="5"/>
      <c r="D71" s="5"/>
      <c r="E71" s="5"/>
      <c r="F71" s="85">
        <f t="shared" ref="F71:J71" si="31">F18</f>
        <v>630.67575</v>
      </c>
      <c r="G71" s="85">
        <f t="shared" si="31"/>
        <v>835.8230738</v>
      </c>
      <c r="H71" s="85">
        <f t="shared" si="31"/>
        <v>1075.333876</v>
      </c>
      <c r="I71" s="85">
        <f t="shared" si="31"/>
        <v>1330.260506</v>
      </c>
      <c r="J71" s="85">
        <f t="shared" si="31"/>
        <v>1568.797501</v>
      </c>
      <c r="K71" s="96" t="s">
        <v>356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0" customHeight="1">
      <c r="A72" s="5"/>
      <c r="B72" s="4" t="s">
        <v>357</v>
      </c>
      <c r="C72" s="5"/>
      <c r="D72" s="5"/>
      <c r="E72" s="5"/>
      <c r="F72" s="85">
        <f t="shared" ref="F72:J72" si="32">SUM(F69:F71)</f>
        <v>107917.2195</v>
      </c>
      <c r="G72" s="85">
        <f t="shared" si="32"/>
        <v>113597.1366</v>
      </c>
      <c r="H72" s="85">
        <f t="shared" si="32"/>
        <v>120786.8943</v>
      </c>
      <c r="I72" s="85">
        <f t="shared" si="32"/>
        <v>130620.2941</v>
      </c>
      <c r="J72" s="85">
        <f t="shared" si="32"/>
        <v>144546.6417</v>
      </c>
      <c r="K72" s="9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0" customHeight="1">
      <c r="A73" s="5"/>
      <c r="B73" s="4" t="s">
        <v>358</v>
      </c>
      <c r="C73" s="5"/>
      <c r="D73" s="5"/>
      <c r="E73" s="5"/>
      <c r="F73" s="85">
        <f t="shared" ref="F73:J73" si="33">F68+F72</f>
        <v>139964.1528</v>
      </c>
      <c r="G73" s="85">
        <f t="shared" si="33"/>
        <v>145682.2799</v>
      </c>
      <c r="H73" s="85">
        <f t="shared" si="33"/>
        <v>153217.6269</v>
      </c>
      <c r="I73" s="85">
        <f t="shared" si="33"/>
        <v>163569.2</v>
      </c>
      <c r="J73" s="85">
        <f t="shared" si="33"/>
        <v>177962.5586</v>
      </c>
      <c r="K73" s="9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</row>
  </sheetData>
  <mergeCells count="8">
    <mergeCell ref="B1:J1"/>
    <mergeCell ref="B2:J2"/>
    <mergeCell ref="B5:J5"/>
    <mergeCell ref="B20:J20"/>
    <mergeCell ref="B27:J27"/>
    <mergeCell ref="B32:J32"/>
    <mergeCell ref="B48:J48"/>
    <mergeCell ref="B61:J61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42.0"/>
    <col customWidth="1" min="3" max="10" width="13.0"/>
    <col customWidth="1" min="11" max="11" width="65.0"/>
  </cols>
  <sheetData>
    <row r="1" ht="17.25" customHeight="1">
      <c r="A1" s="5"/>
      <c r="B1" s="100" t="s">
        <v>359</v>
      </c>
      <c r="C1" s="80"/>
      <c r="D1" s="80"/>
      <c r="E1" s="80"/>
      <c r="F1" s="80"/>
      <c r="G1" s="80"/>
      <c r="H1" s="80"/>
      <c r="I1" s="80"/>
      <c r="J1" s="81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5"/>
      <c r="B2" s="93" t="s">
        <v>360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5"/>
      <c r="C4" s="101"/>
      <c r="D4" s="101"/>
      <c r="E4" s="101"/>
      <c r="F4" s="78" t="s">
        <v>255</v>
      </c>
      <c r="G4" s="78" t="s">
        <v>256</v>
      </c>
      <c r="H4" s="78" t="s">
        <v>257</v>
      </c>
      <c r="I4" s="78" t="s">
        <v>258</v>
      </c>
      <c r="J4" s="78" t="s">
        <v>259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102" t="s">
        <v>361</v>
      </c>
      <c r="C5" s="80"/>
      <c r="D5" s="80"/>
      <c r="E5" s="80"/>
      <c r="F5" s="80"/>
      <c r="G5" s="80"/>
      <c r="H5" s="80"/>
      <c r="I5" s="80"/>
      <c r="J5" s="81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4" t="s">
        <v>362</v>
      </c>
      <c r="C6" s="5"/>
      <c r="D6" s="5"/>
      <c r="E6" s="5"/>
      <c r="F6" s="82">
        <f>Assumptions!$E$54</f>
        <v>0.09999764378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4" t="s">
        <v>363</v>
      </c>
      <c r="C7" s="5"/>
      <c r="D7" s="5"/>
      <c r="E7" s="5"/>
      <c r="F7" s="82">
        <f>Assumptions!$E$44*(1-Assumptions!$E$37)</f>
        <v>0.0474</v>
      </c>
      <c r="G7" s="5"/>
      <c r="H7" s="5"/>
      <c r="I7" s="5"/>
      <c r="J7" s="5"/>
      <c r="K7" s="9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4" t="s">
        <v>364</v>
      </c>
      <c r="C8" s="5"/>
      <c r="D8" s="5"/>
      <c r="E8" s="5"/>
      <c r="F8" s="82">
        <f>Assumptions!$E$53</f>
        <v>0.03</v>
      </c>
      <c r="G8" s="5"/>
      <c r="H8" s="5"/>
      <c r="I8" s="5"/>
      <c r="J8" s="5"/>
      <c r="K8" s="9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5"/>
      <c r="B9" s="4" t="s">
        <v>123</v>
      </c>
      <c r="C9" s="5"/>
      <c r="D9" s="5"/>
      <c r="E9" s="5"/>
      <c r="F9" s="82">
        <f>Assumptions!$E$55</f>
        <v>0.09841971447</v>
      </c>
      <c r="G9" s="5"/>
      <c r="H9" s="5"/>
      <c r="I9" s="5"/>
      <c r="J9" s="5"/>
      <c r="K9" s="96" t="s">
        <v>365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9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79" t="s">
        <v>366</v>
      </c>
      <c r="C11" s="80"/>
      <c r="D11" s="80"/>
      <c r="E11" s="80"/>
      <c r="F11" s="80"/>
      <c r="G11" s="80"/>
      <c r="H11" s="80"/>
      <c r="I11" s="80"/>
      <c r="J11" s="81"/>
      <c r="K11" s="9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4" t="s">
        <v>367</v>
      </c>
      <c r="C12" s="5"/>
      <c r="D12" s="5"/>
      <c r="E12" s="5"/>
      <c r="F12" s="85">
        <f>'IS Forecast'!F26</f>
        <v>9353.459472</v>
      </c>
      <c r="G12" s="85">
        <f>'IS Forecast'!G26</f>
        <v>12971.85035</v>
      </c>
      <c r="H12" s="85">
        <f>'IS Forecast'!H26</f>
        <v>17745.59981</v>
      </c>
      <c r="I12" s="85">
        <f>'IS Forecast'!I26</f>
        <v>23699.65118</v>
      </c>
      <c r="J12" s="85">
        <f>'IS Forecast'!J26</f>
        <v>30474.57654</v>
      </c>
      <c r="K12" s="103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4" t="s">
        <v>368</v>
      </c>
      <c r="C13" s="5"/>
      <c r="D13" s="5"/>
      <c r="E13" s="5"/>
      <c r="F13" s="85">
        <f>'IS Forecast'!F32</f>
        <v>3166.751178</v>
      </c>
      <c r="G13" s="85">
        <f>'IS Forecast'!G32</f>
        <v>4264.21614</v>
      </c>
      <c r="H13" s="85">
        <f>'IS Forecast'!H32</f>
        <v>6195.856916</v>
      </c>
      <c r="I13" s="85">
        <f>'IS Forecast'!I32</f>
        <v>9370.91261</v>
      </c>
      <c r="J13" s="85">
        <f>'IS Forecast'!J32</f>
        <v>14049.02177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4" t="s">
        <v>369</v>
      </c>
      <c r="C14" s="5"/>
      <c r="D14" s="5"/>
      <c r="E14" s="5"/>
      <c r="F14" s="85">
        <f>-'IS Forecast'!F31</f>
        <v>-630.67575</v>
      </c>
      <c r="G14" s="85">
        <f>-'IS Forecast'!G31</f>
        <v>-835.8230738</v>
      </c>
      <c r="H14" s="85">
        <f>-'IS Forecast'!H31</f>
        <v>-1075.333876</v>
      </c>
      <c r="I14" s="85">
        <f>-'IS Forecast'!I31</f>
        <v>-1330.260506</v>
      </c>
      <c r="J14" s="85">
        <f>-'IS Forecast'!J31</f>
        <v>-1568.797501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4" t="s">
        <v>370</v>
      </c>
      <c r="C15" s="5"/>
      <c r="D15" s="5"/>
      <c r="E15" s="5"/>
      <c r="F15" s="85">
        <f>'BS &amp; CF Forecast'!F13</f>
        <v>19707.2565</v>
      </c>
      <c r="G15" s="85">
        <f>'BS &amp; CF Forecast'!G13</f>
        <v>23220.65661</v>
      </c>
      <c r="H15" s="85">
        <f>'BS &amp; CF Forecast'!H13</f>
        <v>25097.48219</v>
      </c>
      <c r="I15" s="85">
        <f>'BS &amp; CF Forecast'!I13</f>
        <v>23826.02588</v>
      </c>
      <c r="J15" s="85">
        <f>'BS &amp; CF Forecast'!J13</f>
        <v>18323.82461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4" t="s">
        <v>371</v>
      </c>
      <c r="C16" s="5"/>
      <c r="D16" s="5"/>
      <c r="E16" s="5"/>
      <c r="F16" s="85">
        <f>'IS Forecast'!F30</f>
        <v>5556.032544</v>
      </c>
      <c r="G16" s="85">
        <f>'IS Forecast'!G30</f>
        <v>7871.81114</v>
      </c>
      <c r="H16" s="85">
        <f>'IS Forecast'!H30</f>
        <v>10474.40902</v>
      </c>
      <c r="I16" s="85">
        <f>'IS Forecast'!I30</f>
        <v>12998.47806</v>
      </c>
      <c r="J16" s="85">
        <f>'IS Forecast'!J30</f>
        <v>14856.75726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4" t="s">
        <v>372</v>
      </c>
      <c r="C17" s="5"/>
      <c r="D17" s="5"/>
      <c r="E17" s="5"/>
      <c r="F17" s="90">
        <f>MAX(F16,Assumptions!$E$38*F15)</f>
        <v>13795.07955</v>
      </c>
      <c r="G17" s="90">
        <f>MAX(G16,Assumptions!$E$38*G15)</f>
        <v>16254.45963</v>
      </c>
      <c r="H17" s="90">
        <f>MAX(H16,Assumptions!$E$38*H15)</f>
        <v>17568.23753</v>
      </c>
      <c r="I17" s="90">
        <f>MAX(I16,Assumptions!$E$38*I15)</f>
        <v>16678.21812</v>
      </c>
      <c r="J17" s="90">
        <f>MAX(J16,Assumptions!$E$38*J15)</f>
        <v>14856.75726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4" t="s">
        <v>373</v>
      </c>
      <c r="C18" s="5"/>
      <c r="D18" s="5"/>
      <c r="E18" s="5"/>
      <c r="F18" s="85">
        <f t="shared" ref="F18:J18" si="1">F12+F14-F17</f>
        <v>-5072.295828</v>
      </c>
      <c r="G18" s="85">
        <f t="shared" si="1"/>
        <v>-4118.432349</v>
      </c>
      <c r="H18" s="85">
        <f t="shared" si="1"/>
        <v>-897.971602</v>
      </c>
      <c r="I18" s="85">
        <f t="shared" si="1"/>
        <v>5691.172554</v>
      </c>
      <c r="J18" s="85">
        <f t="shared" si="1"/>
        <v>14049.02177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5"/>
      <c r="B19" s="4" t="s">
        <v>290</v>
      </c>
      <c r="C19" s="5"/>
      <c r="D19" s="5"/>
      <c r="E19" s="5"/>
      <c r="F19" s="82">
        <f>Assumptions!$E$37</f>
        <v>0.21</v>
      </c>
      <c r="G19" s="82">
        <f>Assumptions!$E$37</f>
        <v>0.21</v>
      </c>
      <c r="H19" s="82">
        <f>Assumptions!$E$37</f>
        <v>0.21</v>
      </c>
      <c r="I19" s="82">
        <f>Assumptions!$E$37</f>
        <v>0.21</v>
      </c>
      <c r="J19" s="82">
        <f>Assumptions!$E$37</f>
        <v>0.21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5"/>
      <c r="B20" s="4" t="s">
        <v>374</v>
      </c>
      <c r="C20" s="5"/>
      <c r="D20" s="5"/>
      <c r="E20" s="5"/>
      <c r="F20" s="85">
        <f t="shared" ref="F20:J20" si="2">MAX(0,F18)*F19</f>
        <v>0</v>
      </c>
      <c r="G20" s="85">
        <f t="shared" si="2"/>
        <v>0</v>
      </c>
      <c r="H20" s="85">
        <f t="shared" si="2"/>
        <v>0</v>
      </c>
      <c r="I20" s="85">
        <f t="shared" si="2"/>
        <v>1195.146236</v>
      </c>
      <c r="J20" s="85">
        <f t="shared" si="2"/>
        <v>2950.294572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3.25" customHeight="1">
      <c r="A21" s="5"/>
      <c r="B21" s="4" t="s">
        <v>375</v>
      </c>
      <c r="C21" s="5"/>
      <c r="D21" s="5"/>
      <c r="E21" s="5"/>
      <c r="F21" s="85">
        <f t="shared" ref="F21:J21" si="3">F13+F16-F20</f>
        <v>8722.783722</v>
      </c>
      <c r="G21" s="85">
        <f t="shared" si="3"/>
        <v>12136.02728</v>
      </c>
      <c r="H21" s="85">
        <f t="shared" si="3"/>
        <v>16670.26593</v>
      </c>
      <c r="I21" s="85">
        <f t="shared" si="3"/>
        <v>21174.24443</v>
      </c>
      <c r="J21" s="85">
        <f t="shared" si="3"/>
        <v>25955.48446</v>
      </c>
      <c r="K21" s="103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0" customHeight="1">
      <c r="A22" s="5"/>
      <c r="B22" s="4" t="s">
        <v>376</v>
      </c>
      <c r="C22" s="5"/>
      <c r="D22" s="5"/>
      <c r="E22" s="5"/>
      <c r="F22" s="85">
        <f t="shared" ref="F22:J22" si="4">-F15</f>
        <v>-19707.2565</v>
      </c>
      <c r="G22" s="85">
        <f t="shared" si="4"/>
        <v>-23220.65661</v>
      </c>
      <c r="H22" s="85">
        <f t="shared" si="4"/>
        <v>-25097.48219</v>
      </c>
      <c r="I22" s="85">
        <f t="shared" si="4"/>
        <v>-23826.02588</v>
      </c>
      <c r="J22" s="85">
        <f t="shared" si="4"/>
        <v>-18323.82461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0" customHeight="1">
      <c r="A23" s="5"/>
      <c r="B23" s="4" t="s">
        <v>339</v>
      </c>
      <c r="C23" s="5"/>
      <c r="D23" s="5"/>
      <c r="E23" s="5"/>
      <c r="F23" s="85">
        <f>'BS &amp; CF Forecast'!F46</f>
        <v>245.0653685</v>
      </c>
      <c r="G23" s="85">
        <f>'BS &amp; CF Forecast'!G46</f>
        <v>306.8779144</v>
      </c>
      <c r="H23" s="85">
        <f>'BS &amp; CF Forecast'!H46</f>
        <v>358.2819119</v>
      </c>
      <c r="I23" s="85">
        <f>'BS &amp; CF Forecast'!I46</f>
        <v>381.3423025</v>
      </c>
      <c r="J23" s="85">
        <f>'BS &amp; CF Forecast'!J46</f>
        <v>356.8252032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0" customHeight="1">
      <c r="A24" s="5"/>
      <c r="B24" s="4" t="s">
        <v>377</v>
      </c>
      <c r="C24" s="5"/>
      <c r="D24" s="5"/>
      <c r="E24" s="5"/>
      <c r="F24" s="85">
        <f t="shared" ref="F24:J24" si="5">SUM(F21,F22,F23)</f>
        <v>-10739.40741</v>
      </c>
      <c r="G24" s="85">
        <f t="shared" si="5"/>
        <v>-10777.75142</v>
      </c>
      <c r="H24" s="85">
        <f t="shared" si="5"/>
        <v>-8068.934348</v>
      </c>
      <c r="I24" s="85">
        <f t="shared" si="5"/>
        <v>-2270.439144</v>
      </c>
      <c r="J24" s="85">
        <f t="shared" si="5"/>
        <v>7988.485058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0" customHeight="1">
      <c r="A26" s="5"/>
      <c r="B26" s="79" t="s">
        <v>378</v>
      </c>
      <c r="C26" s="80"/>
      <c r="D26" s="80"/>
      <c r="E26" s="80"/>
      <c r="F26" s="80"/>
      <c r="G26" s="80"/>
      <c r="H26" s="80"/>
      <c r="I26" s="80"/>
      <c r="J26" s="8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0" customHeight="1">
      <c r="A27" s="5"/>
      <c r="B27" s="4" t="s">
        <v>379</v>
      </c>
      <c r="C27" s="5"/>
      <c r="D27" s="5"/>
      <c r="E27" s="5"/>
      <c r="F27" s="104">
        <v>1.0</v>
      </c>
      <c r="G27" s="104">
        <v>2.0</v>
      </c>
      <c r="H27" s="104">
        <v>3.0</v>
      </c>
      <c r="I27" s="104">
        <v>4.0</v>
      </c>
      <c r="J27" s="104">
        <v>5.0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0" customHeight="1">
      <c r="A28" s="5"/>
      <c r="B28" s="4" t="s">
        <v>380</v>
      </c>
      <c r="C28" s="5"/>
      <c r="D28" s="5"/>
      <c r="E28" s="5"/>
      <c r="F28" s="105">
        <f>F27-0.5*Assumptions!$E$60</f>
        <v>0.5</v>
      </c>
      <c r="G28" s="105">
        <f>G27-0.5*Assumptions!$E$60</f>
        <v>1.5</v>
      </c>
      <c r="H28" s="105">
        <f>H27-0.5*Assumptions!$E$60</f>
        <v>2.5</v>
      </c>
      <c r="I28" s="105">
        <f>I27-0.5*Assumptions!$E$60</f>
        <v>3.5</v>
      </c>
      <c r="J28" s="105">
        <f>J27-0.5*Assumptions!$E$60</f>
        <v>4.5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0" customHeight="1">
      <c r="A29" s="5"/>
      <c r="B29" s="4" t="s">
        <v>381</v>
      </c>
      <c r="C29" s="5"/>
      <c r="D29" s="5"/>
      <c r="E29" s="5"/>
      <c r="F29" s="106">
        <f>1/(1+F9)^F28</f>
        <v>0.9541482113</v>
      </c>
      <c r="G29" s="106">
        <f>1/(1+F9)^G28</f>
        <v>0.8686553953</v>
      </c>
      <c r="H29" s="106">
        <f>1/(1+F9)^H28</f>
        <v>0.7908228375</v>
      </c>
      <c r="I29" s="106">
        <f>1/(1+F9)^I28</f>
        <v>0.7199641695</v>
      </c>
      <c r="J29" s="106">
        <f>1/(1+F9)^J28</f>
        <v>0.6554545225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0" customHeight="1">
      <c r="A30" s="5"/>
      <c r="B30" s="4" t="s">
        <v>382</v>
      </c>
      <c r="C30" s="5"/>
      <c r="D30" s="5"/>
      <c r="E30" s="5"/>
      <c r="F30" s="85">
        <f t="shared" ref="F30:J30" si="6">F24*F29</f>
        <v>-10246.98637</v>
      </c>
      <c r="G30" s="85">
        <f t="shared" si="6"/>
        <v>-9362.15192</v>
      </c>
      <c r="H30" s="85">
        <f t="shared" si="6"/>
        <v>-6381.097556</v>
      </c>
      <c r="I30" s="85">
        <f t="shared" si="6"/>
        <v>-1634.634832</v>
      </c>
      <c r="J30" s="85">
        <f t="shared" si="6"/>
        <v>5236.088659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0" customHeight="1">
      <c r="A31" s="5"/>
      <c r="B31" s="4" t="s">
        <v>383</v>
      </c>
      <c r="C31" s="5"/>
      <c r="D31" s="5"/>
      <c r="E31" s="5"/>
      <c r="F31" s="85">
        <f>SUM(F30:J30)</f>
        <v>-22388.78202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0" customHeight="1">
      <c r="A33" s="5"/>
      <c r="B33" s="79" t="s">
        <v>384</v>
      </c>
      <c r="C33" s="80"/>
      <c r="D33" s="80"/>
      <c r="E33" s="80"/>
      <c r="F33" s="80"/>
      <c r="G33" s="80"/>
      <c r="H33" s="80"/>
      <c r="I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57.75" customHeight="1">
      <c r="A34" s="5"/>
      <c r="B34" s="4" t="s">
        <v>385</v>
      </c>
      <c r="C34" s="5"/>
      <c r="D34" s="5"/>
      <c r="E34" s="5"/>
      <c r="F34" s="90">
        <f>J13*(1+Assumptions!$E$57)</f>
        <v>14400.24732</v>
      </c>
      <c r="G34" s="5"/>
      <c r="H34" s="5"/>
      <c r="I34" s="5"/>
      <c r="J34" s="5"/>
      <c r="K34" s="103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0" customHeight="1">
      <c r="A35" s="5"/>
      <c r="B35" s="4" t="s">
        <v>386</v>
      </c>
      <c r="C35" s="5"/>
      <c r="D35" s="5"/>
      <c r="E35" s="5"/>
      <c r="F35" s="85">
        <f>F34*(1-F19)</f>
        <v>11376.19538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0" customHeight="1">
      <c r="A36" s="5"/>
      <c r="B36" s="4" t="s">
        <v>387</v>
      </c>
      <c r="C36" s="5"/>
      <c r="D36" s="5"/>
      <c r="E36" s="5"/>
      <c r="F36" s="85">
        <f>'BS &amp; CF Forecast'!J15*(1+Assumptions!$E$57)</f>
        <v>15228.1762</v>
      </c>
      <c r="G36" s="5"/>
      <c r="H36" s="5"/>
      <c r="I36" s="5"/>
      <c r="J36" s="5"/>
      <c r="K36" s="103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0" customHeight="1">
      <c r="A37" s="5"/>
      <c r="B37" s="4" t="s">
        <v>388</v>
      </c>
      <c r="C37" s="5"/>
      <c r="D37" s="5"/>
      <c r="E37" s="5"/>
      <c r="F37" s="85">
        <f>F36</f>
        <v>15228.1762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0" customHeight="1">
      <c r="A38" s="5"/>
      <c r="B38" s="4" t="s">
        <v>389</v>
      </c>
      <c r="C38" s="5"/>
      <c r="D38" s="5"/>
      <c r="E38" s="5"/>
      <c r="F38" s="90">
        <f>-(Assumptions!$E$57*'BS &amp; CF Forecast'!J45)</f>
        <v>58.66872847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0" customHeight="1">
      <c r="A39" s="5"/>
      <c r="B39" s="4" t="s">
        <v>390</v>
      </c>
      <c r="C39" s="5"/>
      <c r="D39" s="5"/>
      <c r="E39" s="5"/>
      <c r="F39" s="85">
        <f>F35+F36-F37+F38</f>
        <v>11434.86411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0" customHeight="1">
      <c r="A40" s="5"/>
      <c r="B40" s="4" t="s">
        <v>391</v>
      </c>
      <c r="C40" s="5"/>
      <c r="D40" s="5"/>
      <c r="E40" s="5"/>
      <c r="F40" s="90">
        <f>F39/(F9-Assumptions!$E$57)</f>
        <v>155746.5075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0" customHeight="1">
      <c r="A41" s="5"/>
      <c r="B41" s="4" t="s">
        <v>392</v>
      </c>
      <c r="C41" s="5"/>
      <c r="D41" s="5"/>
      <c r="E41" s="5"/>
      <c r="F41" s="90">
        <f>'IS Forecast'!J26*Assumptions!$E$58</f>
        <v>548542.3777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0" customHeight="1">
      <c r="A42" s="5"/>
      <c r="B42" s="4" t="s">
        <v>393</v>
      </c>
      <c r="C42" s="5"/>
      <c r="D42" s="5"/>
      <c r="E42" s="5"/>
      <c r="F42" s="90">
        <f>IF(Assumptions!$E$59=1,F40,F41)</f>
        <v>155746.5075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0" customHeight="1">
      <c r="A43" s="5"/>
      <c r="B43" s="4" t="s">
        <v>394</v>
      </c>
      <c r="C43" s="5"/>
      <c r="D43" s="5"/>
      <c r="E43" s="5"/>
      <c r="F43" s="85">
        <f>F42*J29</f>
        <v>102084.7527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5"/>
      <c r="B44" s="4" t="s">
        <v>395</v>
      </c>
      <c r="C44" s="5"/>
      <c r="D44" s="5"/>
      <c r="E44" s="5"/>
      <c r="F44" s="89">
        <f>F43/(F43+F31)</f>
        <v>1.280927402</v>
      </c>
      <c r="G44" s="5"/>
      <c r="H44" s="5"/>
      <c r="I44" s="5"/>
      <c r="J44" s="5"/>
      <c r="K44" s="107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0" customHeight="1">
      <c r="A46" s="5"/>
      <c r="B46" s="79" t="s">
        <v>396</v>
      </c>
      <c r="C46" s="80"/>
      <c r="D46" s="80"/>
      <c r="E46" s="80"/>
      <c r="F46" s="80"/>
      <c r="G46" s="80"/>
      <c r="H46" s="80"/>
      <c r="I46" s="80"/>
      <c r="J46" s="81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0" customHeight="1">
      <c r="A47" s="5"/>
      <c r="B47" s="4" t="s">
        <v>383</v>
      </c>
      <c r="C47" s="5"/>
      <c r="D47" s="5"/>
      <c r="E47" s="5"/>
      <c r="F47" s="92">
        <f>F31</f>
        <v>-22388.78202</v>
      </c>
      <c r="G47" s="88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0" customHeight="1">
      <c r="A48" s="5"/>
      <c r="B48" s="4" t="s">
        <v>397</v>
      </c>
      <c r="C48" s="5"/>
      <c r="D48" s="5"/>
      <c r="E48" s="5"/>
      <c r="F48" s="92">
        <f>F43</f>
        <v>102084.7527</v>
      </c>
      <c r="G48" s="88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0" customHeight="1">
      <c r="A49" s="5"/>
      <c r="B49" s="4" t="s">
        <v>398</v>
      </c>
      <c r="C49" s="5"/>
      <c r="D49" s="5"/>
      <c r="E49" s="5"/>
      <c r="F49" s="85">
        <f>F47+F48</f>
        <v>79695.97067</v>
      </c>
      <c r="G49" s="88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0" customHeight="1">
      <c r="A50" s="5"/>
      <c r="B50" s="4" t="s">
        <v>399</v>
      </c>
      <c r="C50" s="5"/>
      <c r="D50" s="5"/>
      <c r="E50" s="5"/>
      <c r="F50" s="90">
        <f>-Assumptions!$E$66</f>
        <v>61120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0" customHeight="1">
      <c r="A51" s="5"/>
      <c r="B51" s="4" t="s">
        <v>400</v>
      </c>
      <c r="C51" s="5"/>
      <c r="D51" s="5"/>
      <c r="E51" s="5"/>
      <c r="F51" s="90">
        <f t="shared" ref="F51:F52" si="7">0</f>
        <v>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0" customHeight="1">
      <c r="A52" s="5"/>
      <c r="B52" s="4" t="s">
        <v>401</v>
      </c>
      <c r="C52" s="5"/>
      <c r="D52" s="5"/>
      <c r="E52" s="5"/>
      <c r="F52" s="90">
        <f t="shared" si="7"/>
        <v>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0" customHeight="1">
      <c r="A53" s="5"/>
      <c r="B53" s="4" t="s">
        <v>402</v>
      </c>
      <c r="C53" s="5"/>
      <c r="D53" s="5"/>
      <c r="E53" s="5"/>
      <c r="F53" s="85">
        <f>F49+F50+F51+F52</f>
        <v>140815.9707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0" customHeight="1">
      <c r="A54" s="5"/>
      <c r="B54" s="4" t="s">
        <v>295</v>
      </c>
      <c r="C54" s="5"/>
      <c r="D54" s="5"/>
      <c r="E54" s="5"/>
      <c r="F54" s="90">
        <f>Assumptions!$E$68</f>
        <v>13075.9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4" t="s">
        <v>403</v>
      </c>
      <c r="C55" s="5"/>
      <c r="D55" s="5"/>
      <c r="E55" s="5"/>
      <c r="F55" s="108">
        <f>F53/F54</f>
        <v>10.76912264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0" customHeight="1">
      <c r="A56" s="5"/>
      <c r="B56" s="4" t="s">
        <v>404</v>
      </c>
      <c r="C56" s="5"/>
      <c r="D56" s="5"/>
      <c r="E56" s="5"/>
      <c r="F56" s="109">
        <f>Assumptions!$E$69</f>
        <v>157.54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0" customHeight="1">
      <c r="A57" s="5"/>
      <c r="B57" s="4" t="s">
        <v>405</v>
      </c>
      <c r="C57" s="5"/>
      <c r="D57" s="5"/>
      <c r="E57" s="5"/>
      <c r="F57" s="89">
        <f>F55/F56-1</f>
        <v>-0.931641979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0" customHeight="1">
      <c r="A59" s="5"/>
      <c r="B59" s="79" t="s">
        <v>406</v>
      </c>
      <c r="C59" s="80"/>
      <c r="D59" s="80"/>
      <c r="E59" s="80"/>
      <c r="F59" s="80"/>
      <c r="G59" s="80"/>
      <c r="H59" s="80"/>
      <c r="I59" s="80"/>
      <c r="J59" s="81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0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103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0" customHeight="1">
      <c r="A61" s="5"/>
      <c r="B61" s="4" t="s">
        <v>407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0" customHeight="1">
      <c r="A62" s="5"/>
      <c r="B62" s="4" t="s">
        <v>408</v>
      </c>
      <c r="C62" s="110">
        <f>Assumptions!$E$57+(-0.005)</f>
        <v>0.02</v>
      </c>
      <c r="D62" s="110">
        <f>Assumptions!$E$57+(-0.0025)</f>
        <v>0.0225</v>
      </c>
      <c r="E62" s="110">
        <f>Assumptions!$E$57+(0)</f>
        <v>0.025</v>
      </c>
      <c r="F62" s="110">
        <f>Assumptions!$E$57+(0.0025)</f>
        <v>0.0275</v>
      </c>
      <c r="G62" s="110">
        <f>Assumptions!$E$57+(0.005)</f>
        <v>0.03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0" customHeight="1">
      <c r="A63" s="5"/>
      <c r="B63" s="111">
        <f>F9+(-0.01)</f>
        <v>0.08841971447</v>
      </c>
      <c r="C63" s="108">
        <f>((SUMPRODUCT($F$24:$J$24,1/(1+$B63)^$F$28:$J$28)+(((('IS Forecast'!$J$32*(1+C$62)*(1-$F$19))+$F$36-$F$36+(-(C$62*'BS &amp; CF Forecast'!$J$45)))/(IF($B63=C$62,0.0001,$B63-C$62)))*(1/(1+$B63)^$J$28)))-Assumptions!$E$66)/Assumptions!$E$68</f>
        <v>11.62829811</v>
      </c>
      <c r="D63" s="108">
        <f>((SUMPRODUCT($F$24:$J$24,1/(1+$B63)^$F$28:$J$28)+(((('IS Forecast'!$J$32*(1+D$62)*(1-$F$19))+$F$36-$F$36+(-(D$62*'BS &amp; CF Forecast'!$J$45)))/(IF($B63=D$62,0.0001,$B63-D$62)))*(1/(1+$B63)^$J$28)))-Assumptions!$E$66)/Assumptions!$E$68</f>
        <v>11.98405567</v>
      </c>
      <c r="E63" s="108">
        <f>((SUMPRODUCT($F$24:$J$24,1/(1+$B63)^$F$28:$J$28)+(((('IS Forecast'!$J$32*(1+E$62)*(1-$F$19))+$F$36-$F$36+(-(E$62*'BS &amp; CF Forecast'!$J$45)))/(IF($B63=E$62,0.0001,$B63-E$62)))*(1/(1+$B63)^$J$28)))-Assumptions!$E$66)/Assumptions!$E$68</f>
        <v>12.3678611</v>
      </c>
      <c r="F63" s="108">
        <f>((SUMPRODUCT($F$24:$J$24,1/(1+$B63)^$F$28:$J$28)+(((('IS Forecast'!$J$32*(1+F$62)*(1-$F$19))+$F$36-$F$36+(-(F$62*'BS &amp; CF Forecast'!$J$45)))/(IF($B63=F$62,0.0001,$B63-F$62)))*(1/(1+$B63)^$J$28)))-Assumptions!$E$66)/Assumptions!$E$68</f>
        <v>12.78316744</v>
      </c>
      <c r="G63" s="108">
        <f>((SUMPRODUCT($F$24:$J$24,1/(1+$B63)^$F$28:$J$28)+(((('IS Forecast'!$J$32*(1+G$62)*(1-$F$19))+$F$36-$F$36+(-(G$62*'BS &amp; CF Forecast'!$J$45)))/(IF($B63=G$62,0.0001,$B63-G$62)))*(1/(1+$B63)^$J$28)))-Assumptions!$E$66)/Assumptions!$E$68</f>
        <v>13.23401884</v>
      </c>
      <c r="H63" s="5"/>
      <c r="I63" s="5"/>
      <c r="J63" s="5"/>
      <c r="K63" s="103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0" customHeight="1">
      <c r="A64" s="5"/>
      <c r="B64" s="111">
        <f>F9+(-0.005)</f>
        <v>0.09341971447</v>
      </c>
      <c r="C64" s="108">
        <f>((SUMPRODUCT($F$24:$J$24,1/(1+$B64)^$F$28:$J$28)+(((('IS Forecast'!$J$32*(1+C$62)*(1-$F$19))+$F$36-$F$36+(-(C$62*'BS &amp; CF Forecast'!$J$45)))/(IF($B64=C$62,0.0001,$B64-C$62)))*(1/(1+$B64)^$J$28)))-Assumptions!$E$66)/Assumptions!$E$68</f>
        <v>10.87820305</v>
      </c>
      <c r="D64" s="108">
        <f>((SUMPRODUCT($F$24:$J$24,1/(1+$B64)^$F$28:$J$28)+(((('IS Forecast'!$J$32*(1+D$62)*(1-$F$19))+$F$36-$F$36+(-(D$62*'BS &amp; CF Forecast'!$J$45)))/(IF($B64=D$62,0.0001,$B64-D$62)))*(1/(1+$B64)^$J$28)))-Assumptions!$E$66)/Assumptions!$E$68</f>
        <v>11.18172032</v>
      </c>
      <c r="E64" s="108">
        <f>((SUMPRODUCT($F$24:$J$24,1/(1+$B64)^$F$28:$J$28)+(((('IS Forecast'!$J$32*(1+E$62)*(1-$F$19))+$F$36-$F$36+(-(E$62*'BS &amp; CF Forecast'!$J$45)))/(IF($B64=E$62,0.0001,$B64-E$62)))*(1/(1+$B64)^$J$28)))-Assumptions!$E$66)/Assumptions!$E$68</f>
        <v>11.50741814</v>
      </c>
      <c r="F64" s="108">
        <f>((SUMPRODUCT($F$24:$J$24,1/(1+$B64)^$F$28:$J$28)+(((('IS Forecast'!$J$32*(1+F$62)*(1-$F$19))+$F$36-$F$36+(-(F$62*'BS &amp; CF Forecast'!$J$45)))/(IF($B64=F$62,0.0001,$B64-F$62)))*(1/(1+$B64)^$J$28)))-Assumptions!$E$66)/Assumptions!$E$68</f>
        <v>11.85782008</v>
      </c>
      <c r="G64" s="108">
        <f>((SUMPRODUCT($F$24:$J$24,1/(1+$B64)^$F$28:$J$28)+(((('IS Forecast'!$J$32*(1+G$62)*(1-$F$19))+$F$36-$F$36+(-(G$62*'BS &amp; CF Forecast'!$J$45)))/(IF($B64=G$62,0.0001,$B64-G$62)))*(1/(1+$B64)^$J$28)))-Assumptions!$E$66)/Assumptions!$E$68</f>
        <v>12.23584765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0" customHeight="1">
      <c r="A65" s="5"/>
      <c r="B65" s="111">
        <f>F9+(0)</f>
        <v>0.09841971447</v>
      </c>
      <c r="C65" s="108">
        <f>((SUMPRODUCT($F$24:$J$24,1/(1+$B65)^$F$28:$J$28)+(((('IS Forecast'!$J$32*(1+C$62)*(1-$F$19))+$F$36-$F$36+(-(C$62*'BS &amp; CF Forecast'!$J$45)))/(IF($B65=C$62,0.0001,$B65-C$62)))*(1/(1+$B65)^$J$28)))-Assumptions!$E$66)/Assumptions!$E$68</f>
        <v>10.22837391</v>
      </c>
      <c r="D65" s="108">
        <f>((SUMPRODUCT($F$24:$J$24,1/(1+$B65)^$F$28:$J$28)+(((('IS Forecast'!$J$32*(1+D$62)*(1-$F$19))+$F$36-$F$36+(-(D$62*'BS &amp; CF Forecast'!$J$45)))/(IF($B65=D$62,0.0001,$B65-D$62)))*(1/(1+$B65)^$J$28)))-Assumptions!$E$66)/Assumptions!$E$68</f>
        <v>10.48984497</v>
      </c>
      <c r="E65" s="112">
        <f>((SUMPRODUCT($F$24:$J$24,1/(1+$B65)^$F$28:$J$28)+(((('IS Forecast'!$J$32*(1+E$62)*(1-$F$19))+$F$36-$F$36+(-(E$62*'BS &amp; CF Forecast'!$J$45)))/(IF($B65=E$62,0.0001,$B65-E$62)))*(1/(1+$B65)^$J$28)))-Assumptions!$E$66)/Assumptions!$E$68</f>
        <v>10.76912264</v>
      </c>
      <c r="F65" s="108">
        <f>((SUMPRODUCT($F$24:$J$24,1/(1+$B65)^$F$28:$J$28)+(((('IS Forecast'!$J$32*(1+F$62)*(1-$F$19))+$F$36-$F$36+(-(F$62*'BS &amp; CF Forecast'!$J$45)))/(IF($B65=F$62,0.0001,$B65-F$62)))*(1/(1+$B65)^$J$28)))-Assumptions!$E$66)/Assumptions!$E$68</f>
        <v>11.06809</v>
      </c>
      <c r="G65" s="108">
        <f>((SUMPRODUCT($F$24:$J$24,1/(1+$B65)^$F$28:$J$28)+(((('IS Forecast'!$J$32*(1+G$62)*(1-$F$19))+$F$36-$F$36+(-(G$62*'BS &amp; CF Forecast'!$J$45)))/(IF($B65=G$62,0.0001,$B65-G$62)))*(1/(1+$B65)^$J$28)))-Assumptions!$E$66)/Assumptions!$E$68</f>
        <v>11.38890541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0" customHeight="1">
      <c r="A66" s="5"/>
      <c r="B66" s="111">
        <f>F9+(0.005)</f>
        <v>0.1034197145</v>
      </c>
      <c r="C66" s="108">
        <f>((SUMPRODUCT($F$24:$J$24,1/(1+$B66)^$F$28:$J$28)+(((('IS Forecast'!$J$32*(1+C$62)*(1-$F$19))+$F$36-$F$36+(-(C$62*'BS &amp; CF Forecast'!$J$45)))/(IF($B66=C$62,0.0001,$B66-C$62)))*(1/(1+$B66)^$J$28)))-Assumptions!$E$66)/Assumptions!$E$68</f>
        <v>9.660675688</v>
      </c>
      <c r="D66" s="108">
        <f>((SUMPRODUCT($F$24:$J$24,1/(1+$B66)^$F$28:$J$28)+(((('IS Forecast'!$J$32*(1+D$62)*(1-$F$19))+$F$36-$F$36+(-(D$62*'BS &amp; CF Forecast'!$J$45)))/(IF($B66=D$62,0.0001,$B66-D$62)))*(1/(1+$B66)^$J$28)))-Assumptions!$E$66)/Assumptions!$E$68</f>
        <v>9.887844427</v>
      </c>
      <c r="E66" s="108">
        <f>((SUMPRODUCT($F$24:$J$24,1/(1+$B66)^$F$28:$J$28)+(((('IS Forecast'!$J$32*(1+E$62)*(1-$F$19))+$F$36-$F$36+(-(E$62*'BS &amp; CF Forecast'!$J$45)))/(IF($B66=E$62,0.0001,$B66-E$62)))*(1/(1+$B66)^$J$28)))-Assumptions!$E$66)/Assumptions!$E$68</f>
        <v>10.12949733</v>
      </c>
      <c r="F66" s="108">
        <f>((SUMPRODUCT($F$24:$J$24,1/(1+$B66)^$F$28:$J$28)+(((('IS Forecast'!$J$32*(1+F$62)*(1-$F$19))+$F$36-$F$36+(-(F$62*'BS &amp; CF Forecast'!$J$45)))/(IF($B66=F$62,0.0001,$B66-F$62)))*(1/(1+$B66)^$J$28)))-Assumptions!$E$66)/Assumptions!$E$68</f>
        <v>10.38706526</v>
      </c>
      <c r="G66" s="108">
        <f>((SUMPRODUCT($F$24:$J$24,1/(1+$B66)^$F$28:$J$28)+(((('IS Forecast'!$J$32*(1+G$62)*(1-$F$19))+$F$36-$F$36+(-(G$62*'BS &amp; CF Forecast'!$J$45)))/(IF($B66=G$62,0.0001,$B66-G$62)))*(1/(1+$B66)^$J$28)))-Assumptions!$E$66)/Assumptions!$E$68</f>
        <v>10.66217397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0" customHeight="1">
      <c r="A67" s="5"/>
      <c r="B67" s="111">
        <f>F9+(0.01)</f>
        <v>0.1084197145</v>
      </c>
      <c r="C67" s="108">
        <f>((SUMPRODUCT($F$24:$J$24,1/(1+$B67)^$F$28:$J$28)+(((('IS Forecast'!$J$32*(1+C$62)*(1-$F$19))+$F$36-$F$36+(-(C$62*'BS &amp; CF Forecast'!$J$45)))/(IF($B67=C$62,0.0001,$B67-C$62)))*(1/(1+$B67)^$J$28)))-Assumptions!$E$66)/Assumptions!$E$68</f>
        <v>9.161078338</v>
      </c>
      <c r="D67" s="108">
        <f>((SUMPRODUCT($F$24:$J$24,1/(1+$B67)^$F$28:$J$28)+(((('IS Forecast'!$J$32*(1+D$62)*(1-$F$19))+$F$36-$F$36+(-(D$62*'BS &amp; CF Forecast'!$J$45)))/(IF($B67=D$62,0.0001,$B67-D$62)))*(1/(1+$B67)^$J$28)))-Assumptions!$E$66)/Assumptions!$E$68</f>
        <v>9.359928236</v>
      </c>
      <c r="E67" s="108">
        <f>((SUMPRODUCT($F$24:$J$24,1/(1+$B67)^$F$28:$J$28)+(((('IS Forecast'!$J$32*(1+E$62)*(1-$F$19))+$F$36-$F$36+(-(E$62*'BS &amp; CF Forecast'!$J$45)))/(IF($B67=E$62,0.0001,$B67-E$62)))*(1/(1+$B67)^$J$28)))-Assumptions!$E$66)/Assumptions!$E$68</f>
        <v>9.570696773</v>
      </c>
      <c r="F67" s="108">
        <f>((SUMPRODUCT($F$24:$J$24,1/(1+$B67)^$F$28:$J$28)+(((('IS Forecast'!$J$32*(1+F$62)*(1-$F$19))+$F$36-$F$36+(-(F$62*'BS &amp; CF Forecast'!$J$45)))/(IF($B67=F$62,0.0001,$B67-F$62)))*(1/(1+$B67)^$J$28)))-Assumptions!$E$66)/Assumptions!$E$68</f>
        <v>9.794488623</v>
      </c>
      <c r="G67" s="108">
        <f>((SUMPRODUCT($F$24:$J$24,1/(1+$B67)^$F$28:$J$28)+(((('IS Forecast'!$J$32*(1+G$62)*(1-$F$19))+$F$36-$F$36+(-(G$62*'BS &amp; CF Forecast'!$J$45)))/(IF($B67=G$62,0.0001,$B67-G$62)))*(1/(1+$B67)^$J$28)))-Assumptions!$E$66)/Assumptions!$E$68</f>
        <v>10.03254932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0" customHeight="1">
      <c r="A69" s="5"/>
      <c r="B69" s="4" t="s">
        <v>409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0" customHeight="1">
      <c r="A70" s="5"/>
      <c r="B70" s="4" t="s">
        <v>410</v>
      </c>
      <c r="C70" s="113">
        <f>Assumptions!$E$58+(-1)</f>
        <v>17</v>
      </c>
      <c r="D70" s="113">
        <f>Assumptions!$E$58+(-0.5)</f>
        <v>17.5</v>
      </c>
      <c r="E70" s="113">
        <f>Assumptions!$E$58+(0)</f>
        <v>18</v>
      </c>
      <c r="F70" s="113">
        <f>Assumptions!$E$58+(0.5)</f>
        <v>18.5</v>
      </c>
      <c r="G70" s="113">
        <f>Assumptions!$E$58+(1)</f>
        <v>19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0" customHeight="1">
      <c r="A71" s="5"/>
      <c r="B71" s="111">
        <f>F9+(-0.01)</f>
        <v>0.08841971447</v>
      </c>
      <c r="C71" s="114">
        <f>((SUMPRODUCT($F$24:$J$24,1/(1+$B71)^$F$28:$J$28)+(('IS Forecast'!$J$26*C$70)*(1/(1+$B71)^$J$28)))-Assumptions!$E$66)/Assumptions!$E$68</f>
        <v>30.01023357</v>
      </c>
      <c r="D71" s="114">
        <f>((SUMPRODUCT($F$24:$J$24,1/(1+$B71)^$F$28:$J$28)+(('IS Forecast'!$J$26*D$70)*(1/(1+$B71)^$J$28)))-Assumptions!$E$66)/Assumptions!$E$68</f>
        <v>30.8061222</v>
      </c>
      <c r="E71" s="114">
        <f>((SUMPRODUCT($F$24:$J$24,1/(1+$B71)^$F$28:$J$28)+(('IS Forecast'!$J$26*E$70)*(1/(1+$B71)^$J$28)))-Assumptions!$E$66)/Assumptions!$E$68</f>
        <v>31.60201082</v>
      </c>
      <c r="F71" s="114">
        <f>((SUMPRODUCT($F$24:$J$24,1/(1+$B71)^$F$28:$J$28)+(('IS Forecast'!$J$26*F$70)*(1/(1+$B71)^$J$28)))-Assumptions!$E$66)/Assumptions!$E$68</f>
        <v>32.39789944</v>
      </c>
      <c r="G71" s="114">
        <f>((SUMPRODUCT($F$24:$J$24,1/(1+$B71)^$F$28:$J$28)+(('IS Forecast'!$J$26*G$70)*(1/(1+$B71)^$J$28)))-Assumptions!$E$66)/Assumptions!$E$68</f>
        <v>33.19378806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0" customHeight="1">
      <c r="A72" s="5"/>
      <c r="B72" s="111">
        <f>F9+(-0.005)</f>
        <v>0.09341971447</v>
      </c>
      <c r="C72" s="114">
        <f>((SUMPRODUCT($F$24:$J$24,1/(1+$B72)^$F$28:$J$28)+(('IS Forecast'!$J$26*C$70)*(1/(1+$B72)^$J$28)))-Assumptions!$E$66)/Assumptions!$E$68</f>
        <v>29.46383713</v>
      </c>
      <c r="D72" s="114">
        <f>((SUMPRODUCT($F$24:$J$24,1/(1+$B72)^$F$28:$J$28)+(('IS Forecast'!$J$26*D$70)*(1/(1+$B72)^$J$28)))-Assumptions!$E$66)/Assumptions!$E$68</f>
        <v>30.2434788</v>
      </c>
      <c r="E72" s="114">
        <f>((SUMPRODUCT($F$24:$J$24,1/(1+$B72)^$F$28:$J$28)+(('IS Forecast'!$J$26*E$70)*(1/(1+$B72)^$J$28)))-Assumptions!$E$66)/Assumptions!$E$68</f>
        <v>31.02312047</v>
      </c>
      <c r="F72" s="114">
        <f>((SUMPRODUCT($F$24:$J$24,1/(1+$B72)^$F$28:$J$28)+(('IS Forecast'!$J$26*F$70)*(1/(1+$B72)^$J$28)))-Assumptions!$E$66)/Assumptions!$E$68</f>
        <v>31.80276214</v>
      </c>
      <c r="G72" s="114">
        <f>((SUMPRODUCT($F$24:$J$24,1/(1+$B72)^$F$28:$J$28)+(('IS Forecast'!$J$26*G$70)*(1/(1+$B72)^$J$28)))-Assumptions!$E$66)/Assumptions!$E$68</f>
        <v>32.58240381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0" customHeight="1">
      <c r="A73" s="5"/>
      <c r="B73" s="111">
        <f>F9+(0)</f>
        <v>0.09841971447</v>
      </c>
      <c r="C73" s="114">
        <f>((SUMPRODUCT($F$24:$J$24,1/(1+$B73)^$F$28:$J$28)+(('IS Forecast'!$J$26*C$70)*(1/(1+$B73)^$J$28)))-Assumptions!$E$66)/Assumptions!$E$68</f>
        <v>28.93117118</v>
      </c>
      <c r="D73" s="114">
        <f>((SUMPRODUCT($F$24:$J$24,1/(1+$B73)^$F$28:$J$28)+(('IS Forecast'!$J$26*D$70)*(1/(1+$B73)^$J$28)))-Assumptions!$E$66)/Assumptions!$E$68</f>
        <v>29.69496943</v>
      </c>
      <c r="E73" s="112">
        <f>((SUMPRODUCT($F$24:$J$24,1/(1+$B73)^$F$28:$J$28)+(('IS Forecast'!$J$26*E$70)*(1/(1+$B73)^$J$28)))-Assumptions!$E$66)/Assumptions!$E$68</f>
        <v>30.45876767</v>
      </c>
      <c r="F73" s="114">
        <f>((SUMPRODUCT($F$24:$J$24,1/(1+$B73)^$F$28:$J$28)+(('IS Forecast'!$J$26*F$70)*(1/(1+$B73)^$J$28)))-Assumptions!$E$66)/Assumptions!$E$68</f>
        <v>31.22256592</v>
      </c>
      <c r="G73" s="114">
        <f>((SUMPRODUCT($F$24:$J$24,1/(1+$B73)^$F$28:$J$28)+(('IS Forecast'!$J$26*G$70)*(1/(1+$B73)^$J$28)))-Assumptions!$E$66)/Assumptions!$E$68</f>
        <v>31.98636417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0" customHeight="1">
      <c r="A74" s="5"/>
      <c r="B74" s="111">
        <f>F9+(0.005)</f>
        <v>0.1034197145</v>
      </c>
      <c r="C74" s="114">
        <f>((SUMPRODUCT($F$24:$J$24,1/(1+$B74)^$F$28:$J$28)+(('IS Forecast'!$J$26*C$70)*(1/(1+$B74)^$J$28)))-Assumptions!$E$66)/Assumptions!$E$68</f>
        <v>28.41183254</v>
      </c>
      <c r="D74" s="114">
        <f>((SUMPRODUCT($F$24:$J$24,1/(1+$B74)^$F$28:$J$28)+(('IS Forecast'!$J$26*D$70)*(1/(1+$B74)^$J$28)))-Assumptions!$E$66)/Assumptions!$E$68</f>
        <v>29.1601791</v>
      </c>
      <c r="E74" s="114">
        <f>((SUMPRODUCT($F$24:$J$24,1/(1+$B74)^$F$28:$J$28)+(('IS Forecast'!$J$26*E$70)*(1/(1+$B74)^$J$28)))-Assumptions!$E$66)/Assumptions!$E$68</f>
        <v>29.90852567</v>
      </c>
      <c r="F74" s="114">
        <f>((SUMPRODUCT($F$24:$J$24,1/(1+$B74)^$F$28:$J$28)+(('IS Forecast'!$J$26*F$70)*(1/(1+$B74)^$J$28)))-Assumptions!$E$66)/Assumptions!$E$68</f>
        <v>30.65687223</v>
      </c>
      <c r="G74" s="114">
        <f>((SUMPRODUCT($F$24:$J$24,1/(1+$B74)^$F$28:$J$28)+(('IS Forecast'!$J$26*G$70)*(1/(1+$B74)^$J$28)))-Assumptions!$E$66)/Assumptions!$E$68</f>
        <v>31.40521879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0" customHeight="1">
      <c r="A75" s="5"/>
      <c r="B75" s="111">
        <f>F9+(0.01)</f>
        <v>0.1084197145</v>
      </c>
      <c r="C75" s="114">
        <f>((SUMPRODUCT($F$24:$J$24,1/(1+$B75)^$F$28:$J$28)+(('IS Forecast'!$J$26*C$70)*(1/(1+$B75)^$J$28)))-Assumptions!$E$66)/Assumptions!$E$68</f>
        <v>27.90543161</v>
      </c>
      <c r="D75" s="114">
        <f>((SUMPRODUCT($F$24:$J$24,1/(1+$B75)^$F$28:$J$28)+(('IS Forecast'!$J$26*D$70)*(1/(1+$B75)^$J$28)))-Assumptions!$E$66)/Assumptions!$E$68</f>
        <v>28.63870682</v>
      </c>
      <c r="E75" s="114">
        <f>((SUMPRODUCT($F$24:$J$24,1/(1+$B75)^$F$28:$J$28)+(('IS Forecast'!$J$26*E$70)*(1/(1+$B75)^$J$28)))-Assumptions!$E$66)/Assumptions!$E$68</f>
        <v>29.37198204</v>
      </c>
      <c r="F75" s="114">
        <f>((SUMPRODUCT($F$24:$J$24,1/(1+$B75)^$F$28:$J$28)+(('IS Forecast'!$J$26*F$70)*(1/(1+$B75)^$J$28)))-Assumptions!$E$66)/Assumptions!$E$68</f>
        <v>30.10525725</v>
      </c>
      <c r="G75" s="114">
        <f>((SUMPRODUCT($F$24:$J$24,1/(1+$B75)^$F$28:$J$28)+(('IS Forecast'!$J$26*G$70)*(1/(1+$B75)^$J$28)))-Assumptions!$E$66)/Assumptions!$E$68</f>
        <v>30.83853247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0" customHeight="1">
      <c r="A77" s="5"/>
      <c r="B77" s="79" t="s">
        <v>411</v>
      </c>
      <c r="C77" s="80"/>
      <c r="D77" s="80"/>
      <c r="E77" s="80"/>
      <c r="F77" s="80"/>
      <c r="G77" s="80"/>
      <c r="H77" s="80"/>
      <c r="I77" s="80"/>
      <c r="J77" s="81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0" customHeight="1">
      <c r="A78" s="5"/>
      <c r="B78" s="4" t="s">
        <v>412</v>
      </c>
      <c r="C78" s="5"/>
      <c r="D78" s="5"/>
      <c r="E78" s="5"/>
      <c r="F78" s="115">
        <f>F49/Input!E15</f>
        <v>4.267750384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0" customHeight="1">
      <c r="A79" s="5"/>
      <c r="B79" s="4" t="s">
        <v>413</v>
      </c>
      <c r="C79" s="5"/>
      <c r="D79" s="5"/>
      <c r="E79" s="5"/>
      <c r="F79" s="115">
        <f>F49/'IS Forecast'!F12</f>
        <v>3.159149954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0" customHeight="1">
      <c r="A80" s="5"/>
      <c r="B80" s="4" t="s">
        <v>414</v>
      </c>
      <c r="C80" s="5"/>
      <c r="D80" s="5"/>
      <c r="E80" s="5"/>
      <c r="F80" s="115">
        <f>F49/Input!E26</f>
        <v>12.10449129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0" customHeight="1">
      <c r="A81" s="5"/>
      <c r="B81" s="4" t="s">
        <v>415</v>
      </c>
      <c r="C81" s="5"/>
      <c r="D81" s="5"/>
      <c r="E81" s="5"/>
      <c r="F81" s="115">
        <f>F49/'IS Forecast'!F26</f>
        <v>8.520480675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0" customHeight="1">
      <c r="A82" s="5"/>
      <c r="B82" s="4" t="s">
        <v>416</v>
      </c>
      <c r="C82" s="5"/>
      <c r="D82" s="5"/>
      <c r="E82" s="5"/>
      <c r="F82" s="116">
        <f>IF('IS Forecast'!F41&lt;=0,"n.m.",F53/'IS Forecast'!F41)</f>
        <v>33.03290351</v>
      </c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</row>
  </sheetData>
  <mergeCells count="9">
    <mergeCell ref="B59:J59"/>
    <mergeCell ref="B77:J77"/>
    <mergeCell ref="B1:J1"/>
    <mergeCell ref="B2:J2"/>
    <mergeCell ref="B5:J5"/>
    <mergeCell ref="B11:J11"/>
    <mergeCell ref="B26:J26"/>
    <mergeCell ref="B33:J33"/>
    <mergeCell ref="B46:J46"/>
  </mergeCells>
  <conditionalFormatting sqref="C63:G6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71:G7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14.0"/>
    <col customWidth="1" min="3" max="3" width="18.0"/>
    <col customWidth="1" min="4" max="4" width="14.0"/>
    <col customWidth="1" min="5" max="5" width="25.43"/>
    <col customWidth="1" min="6" max="10" width="14.0"/>
    <col customWidth="1" min="11" max="11" width="8.71"/>
  </cols>
  <sheetData>
    <row r="1" ht="36.0" customHeight="1">
      <c r="A1" s="117" t="s">
        <v>417</v>
      </c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16.5" customHeight="1">
      <c r="A2" s="64" t="str">
        <f> IF(Assumptions!$B$4=1,"BEAR",IF(Assumptions!$B$4=2,"BASE","BULL"))&amp;", S-1/A Amendment No.2 (filed 2026-06-03)"</f>
        <v>BASE, S-1/A Amendment No.2 (filed 2026-06-03)</v>
      </c>
      <c r="B2" s="2"/>
      <c r="C2" s="2"/>
      <c r="D2" s="2"/>
      <c r="E2" s="2"/>
      <c r="F2" s="2"/>
      <c r="G2" s="2"/>
      <c r="H2" s="2"/>
      <c r="I2" s="2"/>
      <c r="J2" s="3"/>
      <c r="K2" s="4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5.5" customHeight="1">
      <c r="A3" s="118" t="str">
        <f>"Implied Share Price ( " &amp; IF(Assumptions!$E$59=1,"GGM estimate",IF(Assumptions!$E$59=2,"Exit Multiple","Unknown")) &amp; " )"</f>
        <v>Implied Share Price ( GGM estimate )</v>
      </c>
      <c r="B3" s="119"/>
      <c r="C3" s="120" t="s">
        <v>418</v>
      </c>
      <c r="D3" s="119"/>
      <c r="E3" s="118" t="s">
        <v>419</v>
      </c>
      <c r="F3" s="119"/>
      <c r="G3" s="118" t="s">
        <v>398</v>
      </c>
      <c r="H3" s="119"/>
      <c r="I3" s="118" t="s">
        <v>420</v>
      </c>
      <c r="J3" s="119"/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ht="42.0" customHeight="1">
      <c r="A4" s="121">
        <f>DCF!F55</f>
        <v>10.76912264</v>
      </c>
      <c r="B4" s="122"/>
      <c r="C4" s="123">
        <f>DCF!F56</f>
        <v>157.54</v>
      </c>
      <c r="D4" s="122"/>
      <c r="E4" s="124">
        <f>DCF!F57</f>
        <v>-0.931641979</v>
      </c>
      <c r="F4" s="122"/>
      <c r="G4" s="125">
        <f>DCF!F49</f>
        <v>79695.97067</v>
      </c>
      <c r="H4" s="122"/>
      <c r="I4" s="124">
        <f>DCF!F44</f>
        <v>1.280927402</v>
      </c>
      <c r="J4" s="126"/>
      <c r="K4" s="4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ht="38.25" customHeight="1">
      <c r="A5" s="127" t="str">
        <f>"Rating (active scenario, " &amp; IF(Assumptions!$E$59=1,"GGM estimate",IF(Assumptions!$E$59=2,"Exit Multiple","Unknown")) &amp; ")"</f>
        <v>Rating (active scenario, GGM estimate)</v>
      </c>
      <c r="B5" s="128"/>
      <c r="C5" s="129" t="str">
        <f>IF(DCF!F57&gt;0.15,"BUY",IF(DCF!F57&lt;-0.1,"SELL","HOLD"))</f>
        <v>SELL</v>
      </c>
      <c r="D5" s="130"/>
      <c r="E5" s="131" t="s">
        <v>421</v>
      </c>
      <c r="F5" s="130"/>
      <c r="G5" s="130"/>
      <c r="H5" s="130"/>
      <c r="I5" s="130"/>
      <c r="J5" s="132"/>
      <c r="K5" s="4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ht="19.5" customHeight="1">
      <c r="A6" s="133" t="s">
        <v>422</v>
      </c>
      <c r="B6" s="130"/>
      <c r="C6" s="130"/>
      <c r="D6" s="130"/>
      <c r="E6" s="130"/>
      <c r="F6" s="130"/>
      <c r="G6" s="130"/>
      <c r="H6" s="130"/>
      <c r="I6" s="130"/>
      <c r="J6" s="132"/>
      <c r="K6" s="4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ht="24.0" customHeight="1">
      <c r="A7" s="134" t="s">
        <v>423</v>
      </c>
      <c r="B7" s="21"/>
      <c r="C7" s="135" t="s">
        <v>35</v>
      </c>
      <c r="D7" s="21"/>
      <c r="E7" s="135" t="s">
        <v>36</v>
      </c>
      <c r="F7" s="21"/>
      <c r="G7" s="135" t="s">
        <v>37</v>
      </c>
      <c r="H7" s="136"/>
      <c r="I7" s="2"/>
      <c r="J7" s="3"/>
      <c r="K7" s="4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ht="18.0" customHeight="1">
      <c r="A8" s="35" t="s">
        <v>123</v>
      </c>
      <c r="B8" s="137"/>
      <c r="C8" s="138">
        <f>Assumptions!B55</f>
        <v>0.1170285978</v>
      </c>
      <c r="D8" s="137"/>
      <c r="E8" s="139">
        <f>Assumptions!C55</f>
        <v>0.09841971447</v>
      </c>
      <c r="F8" s="137"/>
      <c r="G8" s="140">
        <f>Assumptions!D55</f>
        <v>0.08616899979</v>
      </c>
      <c r="H8" s="141"/>
      <c r="I8" s="142"/>
      <c r="J8" s="143"/>
      <c r="K8" s="4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ht="18.0" customHeight="1">
      <c r="A9" s="144" t="s">
        <v>424</v>
      </c>
      <c r="B9" s="48"/>
      <c r="C9" s="138">
        <f>Assumptions!B57</f>
        <v>0.02</v>
      </c>
      <c r="D9" s="48"/>
      <c r="E9" s="139">
        <f>Assumptions!C57</f>
        <v>0.025</v>
      </c>
      <c r="F9" s="48"/>
      <c r="G9" s="140">
        <f>Assumptions!D57</f>
        <v>0.029</v>
      </c>
      <c r="H9" s="145"/>
      <c r="J9" s="146"/>
      <c r="K9" s="4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ht="18.0" customHeight="1">
      <c r="A10" s="35" t="s">
        <v>425</v>
      </c>
      <c r="B10" s="48"/>
      <c r="C10" s="147">
        <v>0.68</v>
      </c>
      <c r="D10" s="48"/>
      <c r="E10" s="148">
        <v>10.77</v>
      </c>
      <c r="F10" s="48"/>
      <c r="G10" s="149">
        <v>32.63</v>
      </c>
      <c r="H10" s="145"/>
      <c r="J10" s="146"/>
      <c r="K10" s="4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ht="18.0" customHeight="1">
      <c r="A11" s="150" t="s">
        <v>426</v>
      </c>
      <c r="B11" s="48"/>
      <c r="C11" s="151">
        <f>(C10-157.57)/157.57</f>
        <v>-0.9956844577</v>
      </c>
      <c r="D11" s="48"/>
      <c r="E11" s="139">
        <f>(E10-157.57)/157.57</f>
        <v>-0.9316494257</v>
      </c>
      <c r="F11" s="48"/>
      <c r="G11" s="140">
        <f>(G10-157.57)/157.57</f>
        <v>-0.7929174335</v>
      </c>
      <c r="H11" s="145"/>
      <c r="J11" s="146"/>
      <c r="K11" s="4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8.0" customHeight="1">
      <c r="A12" s="35" t="s">
        <v>398</v>
      </c>
      <c r="B12" s="48"/>
      <c r="C12" s="152">
        <v>-52273.2</v>
      </c>
      <c r="D12" s="48"/>
      <c r="E12" s="153">
        <v>79696.0</v>
      </c>
      <c r="F12" s="48"/>
      <c r="G12" s="154">
        <v>365597.23</v>
      </c>
      <c r="H12" s="145"/>
      <c r="J12" s="146"/>
      <c r="K12" s="4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8.0" customHeight="1">
      <c r="A13" s="150" t="s">
        <v>427</v>
      </c>
      <c r="B13" s="48"/>
      <c r="C13" s="155">
        <v>-46270.7</v>
      </c>
      <c r="D13" s="48"/>
      <c r="E13" s="156">
        <v>-22388.8</v>
      </c>
      <c r="F13" s="48"/>
      <c r="G13" s="157">
        <v>20519.77</v>
      </c>
      <c r="H13" s="145"/>
      <c r="J13" s="146"/>
      <c r="K13" s="4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8.0" customHeight="1">
      <c r="A14" s="35" t="s">
        <v>428</v>
      </c>
      <c r="B14" s="48"/>
      <c r="C14" s="155">
        <v>-6002.5</v>
      </c>
      <c r="D14" s="48"/>
      <c r="E14" s="156">
        <v>102084.8</v>
      </c>
      <c r="F14" s="48"/>
      <c r="G14" s="157">
        <v>345077.46</v>
      </c>
      <c r="H14" s="145"/>
      <c r="J14" s="146"/>
      <c r="K14" s="4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ht="18.0" customHeight="1">
      <c r="A15" s="150" t="s">
        <v>429</v>
      </c>
      <c r="B15" s="48"/>
      <c r="C15" s="158">
        <v>0.115</v>
      </c>
      <c r="D15" s="48"/>
      <c r="E15" s="159">
        <v>1.281</v>
      </c>
      <c r="F15" s="48"/>
      <c r="G15" s="160">
        <v>0.943</v>
      </c>
      <c r="H15" s="145"/>
      <c r="J15" s="146"/>
      <c r="K15" s="4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ht="18.0" customHeight="1">
      <c r="A16" s="35" t="s">
        <v>402</v>
      </c>
      <c r="B16" s="48"/>
      <c r="C16" s="155">
        <v>8846.8</v>
      </c>
      <c r="D16" s="48"/>
      <c r="E16" s="153">
        <v>140816.0</v>
      </c>
      <c r="F16" s="48"/>
      <c r="G16" s="154">
        <v>426717.2</v>
      </c>
      <c r="H16" s="145"/>
      <c r="J16" s="146"/>
      <c r="K16" s="4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ht="18.0" customHeight="1">
      <c r="A17" s="150" t="s">
        <v>430</v>
      </c>
      <c r="B17" s="48"/>
      <c r="C17" s="155">
        <v>22319.2</v>
      </c>
      <c r="D17" s="48"/>
      <c r="E17" s="156">
        <v>25227.0</v>
      </c>
      <c r="F17" s="48"/>
      <c r="G17" s="157">
        <v>27131.9</v>
      </c>
      <c r="H17" s="145"/>
      <c r="J17" s="146"/>
      <c r="K17" s="4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ht="18.0" customHeight="1">
      <c r="A18" s="35" t="s">
        <v>431</v>
      </c>
      <c r="B18" s="48"/>
      <c r="C18" s="161">
        <v>5917.0</v>
      </c>
      <c r="D18" s="48"/>
      <c r="E18" s="156">
        <v>9353.5</v>
      </c>
      <c r="F18" s="48"/>
      <c r="G18" s="157">
        <v>11611.7</v>
      </c>
      <c r="H18" s="145"/>
      <c r="J18" s="146"/>
      <c r="K18" s="4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ht="21.75" customHeight="1">
      <c r="A19" s="150" t="s">
        <v>432</v>
      </c>
      <c r="B19" s="48"/>
      <c r="C19" s="161">
        <v>37430.0</v>
      </c>
      <c r="D19" s="48"/>
      <c r="E19" s="156">
        <v>62751.9</v>
      </c>
      <c r="F19" s="48"/>
      <c r="G19" s="157">
        <v>89530.0</v>
      </c>
      <c r="H19" s="145"/>
      <c r="J19" s="146"/>
      <c r="K19" s="4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ht="18.0" customHeight="1">
      <c r="A20" s="162" t="s">
        <v>433</v>
      </c>
      <c r="B20" s="41"/>
      <c r="C20" s="155">
        <v>14152.5</v>
      </c>
      <c r="D20" s="41"/>
      <c r="E20" s="156">
        <v>30474.6</v>
      </c>
      <c r="F20" s="41"/>
      <c r="G20" s="157">
        <v>49059.1</v>
      </c>
      <c r="H20" s="163"/>
      <c r="I20" s="130"/>
      <c r="J20" s="132"/>
      <c r="K20" s="4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ht="19.5" customHeight="1">
      <c r="A21" s="164" t="str">
        <f>"Revenue &amp; Adj.EBITDA Trend (" &amp; IF(Assumptions!$B$4=1,"BEAR",IF(Assumptions!$B$4=2,"BASE","BULL")) &amp; " Scenario)"</f>
        <v>Revenue &amp; Adj.EBITDA Trend (BASE Scenario)</v>
      </c>
      <c r="B21" s="2"/>
      <c r="C21" s="2"/>
      <c r="D21" s="2"/>
      <c r="E21" s="2"/>
      <c r="F21" s="2"/>
      <c r="G21" s="2"/>
      <c r="H21" s="2"/>
      <c r="I21" s="2"/>
      <c r="J21" s="3"/>
      <c r="K21" s="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ht="21.75" customHeight="1">
      <c r="A22" s="31" t="s">
        <v>423</v>
      </c>
      <c r="B22" s="32" t="s">
        <v>434</v>
      </c>
      <c r="C22" s="32" t="s">
        <v>435</v>
      </c>
      <c r="D22" s="32" t="s">
        <v>436</v>
      </c>
      <c r="E22" s="32" t="s">
        <v>437</v>
      </c>
      <c r="F22" s="32" t="s">
        <v>438</v>
      </c>
      <c r="G22" s="32" t="s">
        <v>439</v>
      </c>
      <c r="H22" s="32" t="s">
        <v>440</v>
      </c>
      <c r="I22" s="32" t="s">
        <v>441</v>
      </c>
      <c r="J22" s="21"/>
      <c r="K22" s="4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ht="18.0" customHeight="1">
      <c r="A23" s="165" t="s">
        <v>267</v>
      </c>
      <c r="B23" s="58">
        <f>'IS Forecast'!C12</f>
        <v>10387</v>
      </c>
      <c r="C23" s="58">
        <f>'IS Forecast'!D12</f>
        <v>14015</v>
      </c>
      <c r="D23" s="58">
        <f>'IS Forecast'!E12</f>
        <v>18674</v>
      </c>
      <c r="E23" s="58">
        <f>'IS Forecast'!F12</f>
        <v>25227.03</v>
      </c>
      <c r="F23" s="58">
        <f>'IS Forecast'!G12</f>
        <v>33432.92295</v>
      </c>
      <c r="G23" s="58">
        <f>'IS Forecast'!H12</f>
        <v>43013.35503</v>
      </c>
      <c r="H23" s="58">
        <f>'IS Forecast'!I12</f>
        <v>53210.42026</v>
      </c>
      <c r="I23" s="58">
        <f>'IS Forecast'!J12</f>
        <v>62751.90005</v>
      </c>
      <c r="J23" s="137"/>
      <c r="K23" s="4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ht="18.0" customHeight="1">
      <c r="A24" s="166" t="s">
        <v>442</v>
      </c>
      <c r="B24" s="58">
        <f>'IS Forecast'!C26</f>
        <v>3821</v>
      </c>
      <c r="C24" s="58">
        <f>'IS Forecast'!D26</f>
        <v>5350</v>
      </c>
      <c r="D24" s="58">
        <f>'IS Forecast'!E26</f>
        <v>6584</v>
      </c>
      <c r="E24" s="58">
        <f>'IS Forecast'!F26</f>
        <v>9353.459472</v>
      </c>
      <c r="F24" s="58">
        <f>'IS Forecast'!G26</f>
        <v>12971.85035</v>
      </c>
      <c r="G24" s="58">
        <f>'IS Forecast'!H26</f>
        <v>17745.59981</v>
      </c>
      <c r="H24" s="58">
        <f>'IS Forecast'!I26</f>
        <v>23699.65118</v>
      </c>
      <c r="I24" s="58">
        <f>'IS Forecast'!J26</f>
        <v>30474.57654</v>
      </c>
      <c r="J24" s="48"/>
      <c r="K24" s="4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ht="18.0" customHeight="1">
      <c r="A25" s="165" t="s">
        <v>443</v>
      </c>
      <c r="B25" s="167" t="s">
        <v>444</v>
      </c>
      <c r="C25" s="167" t="s">
        <v>444</v>
      </c>
      <c r="D25" s="58">
        <f>'IS Forecast'!E6</f>
        <v>4086</v>
      </c>
      <c r="E25" s="58">
        <f>'IS Forecast'!F6</f>
        <v>4412.88</v>
      </c>
      <c r="F25" s="58">
        <f>'IS Forecast'!G6</f>
        <v>4810.0392</v>
      </c>
      <c r="G25" s="58">
        <f>'IS Forecast'!H6</f>
        <v>5291.04312</v>
      </c>
      <c r="H25" s="58">
        <f>'IS Forecast'!I6</f>
        <v>5873.057863</v>
      </c>
      <c r="I25" s="58">
        <f>'IS Forecast'!J6</f>
        <v>6577.824807</v>
      </c>
      <c r="J25" s="48"/>
      <c r="K25" s="4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ht="18.0" customHeight="1">
      <c r="A26" s="166" t="s">
        <v>445</v>
      </c>
      <c r="B26" s="167" t="s">
        <v>444</v>
      </c>
      <c r="C26" s="167" t="s">
        <v>444</v>
      </c>
      <c r="D26" s="58">
        <f>'IS Forecast'!E8</f>
        <v>11387</v>
      </c>
      <c r="E26" s="58">
        <f>'IS Forecast'!F8</f>
        <v>15372.45</v>
      </c>
      <c r="F26" s="58">
        <f>'IS Forecast'!G8</f>
        <v>19984.185</v>
      </c>
      <c r="G26" s="58">
        <f>'IS Forecast'!H8</f>
        <v>24980.23125</v>
      </c>
      <c r="H26" s="58">
        <f>'IS Forecast'!I8</f>
        <v>29976.2775</v>
      </c>
      <c r="I26" s="58">
        <f>'IS Forecast'!J8</f>
        <v>34472.71913</v>
      </c>
      <c r="J26" s="48"/>
      <c r="K26" s="4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ht="18.0" customHeight="1">
      <c r="A27" s="165" t="s">
        <v>446</v>
      </c>
      <c r="B27" s="167" t="s">
        <v>444</v>
      </c>
      <c r="C27" s="167" t="s">
        <v>444</v>
      </c>
      <c r="D27" s="58">
        <f>'IS Forecast'!E10</f>
        <v>3201</v>
      </c>
      <c r="E27" s="58">
        <f>'IS Forecast'!F10</f>
        <v>5441.7</v>
      </c>
      <c r="F27" s="58">
        <f>'IS Forecast'!G10</f>
        <v>8638.69875</v>
      </c>
      <c r="G27" s="58">
        <f>'IS Forecast'!H10</f>
        <v>12742.08066</v>
      </c>
      <c r="H27" s="58">
        <f>'IS Forecast'!I10</f>
        <v>17361.08489</v>
      </c>
      <c r="I27" s="58">
        <f>'IS Forecast'!J10</f>
        <v>21701.35612</v>
      </c>
      <c r="J27" s="41"/>
      <c r="K27" s="4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ht="15.75" customHeight="1">
      <c r="A28" s="11"/>
      <c r="B28" s="2"/>
      <c r="C28" s="2"/>
      <c r="D28" s="2"/>
      <c r="E28" s="2"/>
      <c r="F28" s="2"/>
      <c r="G28" s="2"/>
      <c r="H28" s="2"/>
      <c r="I28" s="2"/>
      <c r="J28" s="3"/>
      <c r="K28" s="4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ht="19.5" customHeight="1">
      <c r="A29" s="168" t="str">
        <f>"Key Model Assumptions ("&amp; IF(Assumptions!$B$4=1,"BEAR",IF(Assumptions!$B$4=2,"BASE","BULL")) &amp; " Scenario)"</f>
        <v>Key Model Assumptions (BASE Scenario)</v>
      </c>
      <c r="B29" s="142"/>
      <c r="C29" s="142"/>
      <c r="D29" s="142"/>
      <c r="E29" s="142"/>
      <c r="F29" s="142"/>
      <c r="G29" s="142"/>
      <c r="H29" s="142"/>
      <c r="I29" s="142"/>
      <c r="J29" s="143"/>
      <c r="K29" s="4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ht="16.5" customHeight="1">
      <c r="A30" s="169" t="s">
        <v>447</v>
      </c>
      <c r="B30" s="170"/>
      <c r="C30" s="171">
        <f>Assumptions!$E$55</f>
        <v>0.09841971447</v>
      </c>
      <c r="D30" s="170"/>
      <c r="E30" s="170" t="s">
        <v>424</v>
      </c>
      <c r="F30" s="170"/>
      <c r="G30" s="171">
        <f>Assumptions!$E$57</f>
        <v>0.025</v>
      </c>
      <c r="H30" s="170"/>
      <c r="I30" s="170"/>
      <c r="J30" s="172"/>
      <c r="K30" s="4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ht="16.5" customHeight="1">
      <c r="A31" s="173" t="s">
        <v>448</v>
      </c>
      <c r="B31" s="174"/>
      <c r="C31" s="175">
        <f>Assumptions!$E$58</f>
        <v>18</v>
      </c>
      <c r="D31" s="174"/>
      <c r="E31" s="174" t="s">
        <v>449</v>
      </c>
      <c r="F31" s="174"/>
      <c r="G31" s="176">
        <f>Assumptions!$E$66</f>
        <v>-61120</v>
      </c>
      <c r="H31" s="174"/>
      <c r="I31" s="174"/>
      <c r="J31" s="177"/>
      <c r="K31" s="4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ht="16.5" customHeight="1">
      <c r="A32" s="173" t="s">
        <v>19</v>
      </c>
      <c r="B32" s="174"/>
      <c r="C32" s="176">
        <f>Assumptions!$E$68</f>
        <v>13075.9</v>
      </c>
      <c r="D32" s="174"/>
      <c r="E32" s="174" t="s">
        <v>450</v>
      </c>
      <c r="F32" s="174"/>
      <c r="G32" s="178">
        <f>Assumptions!$E$33</f>
        <v>0.02</v>
      </c>
      <c r="H32" s="174"/>
      <c r="I32" s="174"/>
      <c r="J32" s="177"/>
      <c r="K32" s="4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ht="16.5" customHeight="1">
      <c r="A33" s="173" t="s">
        <v>451</v>
      </c>
      <c r="B33" s="174"/>
      <c r="C33" s="179">
        <f>Assumptions!$E$28</f>
        <v>18</v>
      </c>
      <c r="D33" s="174"/>
      <c r="E33" s="174" t="s">
        <v>452</v>
      </c>
      <c r="F33" s="174"/>
      <c r="G33" s="179">
        <f>Assumptions!$E$29</f>
        <v>6</v>
      </c>
      <c r="H33" s="174"/>
      <c r="I33" s="174"/>
      <c r="J33" s="177"/>
      <c r="K33" s="4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ht="16.5" customHeight="1">
      <c r="A34" s="173" t="s">
        <v>453</v>
      </c>
      <c r="B34" s="174"/>
      <c r="C34" s="179">
        <f>Assumptions!$E$30</f>
        <v>4</v>
      </c>
      <c r="D34" s="174"/>
      <c r="E34" s="174" t="s">
        <v>454</v>
      </c>
      <c r="F34" s="174"/>
      <c r="G34" s="178">
        <f>Assumptions!$E$42</f>
        <v>0.04</v>
      </c>
      <c r="H34" s="174"/>
      <c r="I34" s="174"/>
      <c r="J34" s="177"/>
      <c r="K34" s="4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ht="16.5" customHeight="1">
      <c r="A35" s="173" t="s">
        <v>455</v>
      </c>
      <c r="B35" s="174"/>
      <c r="C35" s="178">
        <f>Assumptions!$E$43</f>
        <v>0.05</v>
      </c>
      <c r="D35" s="174"/>
      <c r="E35" s="174" t="s">
        <v>456</v>
      </c>
      <c r="F35" s="174"/>
      <c r="G35" s="178">
        <f>Assumptions!$E$38</f>
        <v>0.7</v>
      </c>
      <c r="H35" s="174"/>
      <c r="I35" s="174"/>
      <c r="J35" s="177"/>
      <c r="K35" s="4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ht="16.5" customHeight="1">
      <c r="A36" s="180" t="s">
        <v>457</v>
      </c>
      <c r="B36" s="181"/>
      <c r="C36" s="182">
        <f>Assumptions!$E$37</f>
        <v>0.21</v>
      </c>
      <c r="D36" s="181"/>
      <c r="E36" s="181" t="s">
        <v>458</v>
      </c>
      <c r="F36" s="181"/>
      <c r="G36" s="183">
        <f>Assumptions!$E$59</f>
        <v>1</v>
      </c>
      <c r="H36" s="181"/>
      <c r="I36" s="181"/>
      <c r="J36" s="184"/>
      <c r="K36" s="4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ht="15.75" customHeight="1">
      <c r="A38" s="185"/>
      <c r="B38" s="4"/>
      <c r="C38" s="4"/>
      <c r="D38" s="4"/>
      <c r="E38" s="4"/>
      <c r="F38" s="4"/>
      <c r="G38" s="4"/>
      <c r="H38" s="4"/>
      <c r="I38" s="4"/>
      <c r="J38" s="4"/>
      <c r="K38" s="4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ht="15.0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ht="15.0" customHeight="1">
      <c r="A42" s="4"/>
      <c r="B42" s="85"/>
      <c r="C42" s="85"/>
      <c r="D42" s="85"/>
      <c r="E42" s="85"/>
      <c r="F42" s="85"/>
      <c r="G42" s="85"/>
      <c r="H42" s="85"/>
      <c r="I42" s="85"/>
      <c r="J42" s="4"/>
      <c r="K42" s="4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ht="15.0" customHeight="1">
      <c r="A43" s="4"/>
      <c r="B43" s="85"/>
      <c r="C43" s="85"/>
      <c r="D43" s="85"/>
      <c r="E43" s="85"/>
      <c r="F43" s="85"/>
      <c r="G43" s="85"/>
      <c r="H43" s="85"/>
      <c r="I43" s="85"/>
      <c r="J43" s="4"/>
      <c r="K43" s="4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ht="15.0" customHeight="1">
      <c r="A44" s="4"/>
      <c r="B44" s="85"/>
      <c r="C44" s="85"/>
      <c r="D44" s="85"/>
      <c r="E44" s="85"/>
      <c r="F44" s="85"/>
      <c r="G44" s="85"/>
      <c r="H44" s="85"/>
      <c r="I44" s="85"/>
      <c r="J44" s="4"/>
      <c r="K44" s="4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ht="15.0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ht="15.0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ht="15.0" customHeight="1">
      <c r="A48" s="4"/>
      <c r="B48" s="4"/>
      <c r="C48" s="89"/>
      <c r="D48" s="4"/>
      <c r="E48" s="4"/>
      <c r="F48" s="4"/>
      <c r="G48" s="4"/>
      <c r="H48" s="4"/>
      <c r="I48" s="4"/>
      <c r="J48" s="4"/>
      <c r="K48" s="4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ht="15.75" customHeight="1">
      <c r="A49" s="4"/>
      <c r="B49" s="4"/>
      <c r="C49" s="89"/>
      <c r="D49" s="4"/>
      <c r="E49" s="4"/>
      <c r="F49" s="4"/>
      <c r="G49" s="4"/>
      <c r="H49" s="4"/>
      <c r="I49" s="4"/>
      <c r="J49" s="4"/>
      <c r="K49" s="4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ht="15.75" customHeight="1">
      <c r="A50" s="4"/>
      <c r="B50" s="4"/>
      <c r="C50" s="186"/>
      <c r="D50" s="4"/>
      <c r="E50" s="4"/>
      <c r="F50" s="4"/>
      <c r="G50" s="4"/>
      <c r="H50" s="4"/>
      <c r="I50" s="4"/>
      <c r="J50" s="4"/>
      <c r="K50" s="4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ht="15.75" customHeight="1">
      <c r="A51" s="4"/>
      <c r="B51" s="4"/>
      <c r="C51" s="85"/>
      <c r="D51" s="4"/>
      <c r="E51" s="4"/>
      <c r="F51" s="4"/>
      <c r="G51" s="4"/>
      <c r="H51" s="4"/>
      <c r="I51" s="4"/>
      <c r="J51" s="4"/>
      <c r="K51" s="4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ht="15.75" customHeight="1">
      <c r="A52" s="4"/>
      <c r="B52" s="4"/>
      <c r="C52" s="85"/>
      <c r="D52" s="4"/>
      <c r="E52" s="4"/>
      <c r="F52" s="4"/>
      <c r="G52" s="4"/>
      <c r="H52" s="4"/>
      <c r="I52" s="4"/>
      <c r="J52" s="4"/>
      <c r="K52" s="4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ht="15.75" customHeight="1">
      <c r="A53" s="4"/>
      <c r="B53" s="4"/>
      <c r="C53" s="89"/>
      <c r="D53" s="4"/>
      <c r="E53" s="4"/>
      <c r="F53" s="4"/>
      <c r="G53" s="4"/>
      <c r="H53" s="4"/>
      <c r="I53" s="4"/>
      <c r="J53" s="4"/>
      <c r="K53" s="4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ht="15.75" customHeight="1">
      <c r="A54" s="4"/>
      <c r="B54" s="4"/>
      <c r="C54" s="186"/>
      <c r="D54" s="4"/>
      <c r="E54" s="4"/>
      <c r="F54" s="4"/>
      <c r="G54" s="4"/>
      <c r="H54" s="4"/>
      <c r="I54" s="4"/>
      <c r="J54" s="4"/>
      <c r="K54" s="4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ht="15.75" customHeight="1">
      <c r="A55" s="4"/>
      <c r="B55" s="4"/>
      <c r="C55" s="85"/>
      <c r="D55" s="4"/>
      <c r="E55" s="4"/>
      <c r="F55" s="4"/>
      <c r="G55" s="4"/>
      <c r="H55" s="4"/>
      <c r="I55" s="4"/>
      <c r="J55" s="4"/>
      <c r="K55" s="4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ht="15.75" customHeight="1">
      <c r="A56" s="4"/>
      <c r="B56" s="4"/>
      <c r="C56" s="85"/>
      <c r="D56" s="4"/>
      <c r="E56" s="4"/>
      <c r="F56" s="4"/>
      <c r="G56" s="4"/>
      <c r="H56" s="4"/>
      <c r="I56" s="4"/>
      <c r="J56" s="4"/>
      <c r="K56" s="4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ht="15.75" customHeight="1">
      <c r="A58" s="4"/>
      <c r="B58" s="4"/>
      <c r="C58" s="89"/>
      <c r="D58" s="4"/>
      <c r="E58" s="4"/>
      <c r="F58" s="4"/>
      <c r="G58" s="4"/>
      <c r="H58" s="4"/>
      <c r="I58" s="4"/>
      <c r="J58" s="4"/>
      <c r="K58" s="4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ht="15.75" customHeight="1">
      <c r="A59" s="4"/>
      <c r="B59" s="4"/>
      <c r="C59" s="89"/>
      <c r="D59" s="4"/>
      <c r="E59" s="4"/>
      <c r="F59" s="4"/>
      <c r="G59" s="4"/>
      <c r="H59" s="4"/>
      <c r="I59" s="4"/>
      <c r="J59" s="4"/>
      <c r="K59" s="4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ht="15.75" customHeight="1">
      <c r="A60" s="4"/>
      <c r="B60" s="4"/>
      <c r="C60" s="89"/>
      <c r="D60" s="4"/>
      <c r="E60" s="4"/>
      <c r="F60" s="4"/>
      <c r="G60" s="4"/>
      <c r="H60" s="4"/>
      <c r="I60" s="4"/>
      <c r="J60" s="4"/>
      <c r="K60" s="4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ht="15.75" customHeight="1">
      <c r="A61" s="4"/>
      <c r="B61" s="4"/>
      <c r="C61" s="89"/>
      <c r="D61" s="4"/>
      <c r="E61" s="4"/>
      <c r="F61" s="4"/>
      <c r="G61" s="4"/>
      <c r="H61" s="4"/>
      <c r="I61" s="4"/>
      <c r="J61" s="4"/>
      <c r="K61" s="4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</row>
  </sheetData>
  <mergeCells count="14">
    <mergeCell ref="D8:D20"/>
    <mergeCell ref="F8:F20"/>
    <mergeCell ref="H8:J20"/>
    <mergeCell ref="A21:J21"/>
    <mergeCell ref="J23:J27"/>
    <mergeCell ref="A28:J28"/>
    <mergeCell ref="A29:J29"/>
    <mergeCell ref="A1:J1"/>
    <mergeCell ref="A2:J2"/>
    <mergeCell ref="D4:D5"/>
    <mergeCell ref="E5:J5"/>
    <mergeCell ref="A6:J6"/>
    <mergeCell ref="H7:J7"/>
    <mergeCell ref="B8:B20"/>
  </mergeCells>
  <printOptions/>
  <pageMargins bottom="0.75" footer="0.0" header="0.0" left="0.5" right="0.25" top="0.75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28.29"/>
    <col customWidth="1" min="6" max="6" width="1.57"/>
    <col customWidth="1" min="7" max="26" width="8.71"/>
  </cols>
  <sheetData>
    <row r="1" ht="37.5" customHeight="1">
      <c r="A1" s="187"/>
      <c r="B1" s="188" t="s">
        <v>459</v>
      </c>
      <c r="C1" s="189"/>
      <c r="D1" s="189"/>
      <c r="E1" s="190"/>
      <c r="F1" s="191"/>
    </row>
    <row r="2" ht="15.75" customHeight="1">
      <c r="A2" s="192"/>
      <c r="B2" s="193" t="s">
        <v>460</v>
      </c>
      <c r="C2" s="80"/>
      <c r="D2" s="80"/>
      <c r="E2" s="81"/>
      <c r="F2" s="194"/>
    </row>
    <row r="3" ht="19.5" customHeight="1">
      <c r="A3" s="192"/>
      <c r="B3" s="195" t="s">
        <v>461</v>
      </c>
      <c r="C3" s="80"/>
      <c r="D3" s="80"/>
      <c r="E3" s="81"/>
      <c r="F3" s="194"/>
    </row>
    <row r="4" ht="7.5" customHeight="1">
      <c r="A4" s="196"/>
      <c r="B4" s="197"/>
      <c r="C4" s="197"/>
      <c r="D4" s="197"/>
      <c r="E4" s="197"/>
      <c r="F4" s="198"/>
    </row>
    <row r="5" ht="21.75" customHeight="1">
      <c r="A5" s="199"/>
      <c r="B5" s="200" t="s">
        <v>462</v>
      </c>
      <c r="C5" s="2"/>
      <c r="D5" s="2"/>
      <c r="E5" s="3"/>
      <c r="F5" s="201"/>
    </row>
    <row r="6" ht="19.5" customHeight="1">
      <c r="A6" s="199"/>
      <c r="B6" s="202" t="s">
        <v>423</v>
      </c>
      <c r="C6" s="203" t="s">
        <v>35</v>
      </c>
      <c r="D6" s="204" t="s">
        <v>36</v>
      </c>
      <c r="E6" s="205" t="s">
        <v>37</v>
      </c>
      <c r="F6" s="201"/>
    </row>
    <row r="7" ht="19.5" customHeight="1">
      <c r="A7" s="199"/>
      <c r="B7" s="206" t="s">
        <v>463</v>
      </c>
      <c r="C7" s="207">
        <v>0.68</v>
      </c>
      <c r="D7" s="208">
        <v>10.77</v>
      </c>
      <c r="E7" s="209">
        <v>32.6338708248339</v>
      </c>
      <c r="F7" s="201"/>
    </row>
    <row r="8" ht="19.5" customHeight="1">
      <c r="A8" s="199"/>
      <c r="B8" s="210" t="s">
        <v>464</v>
      </c>
      <c r="C8" s="151">
        <f t="shared" ref="C8:E8" si="1">(C7-157.57)/157.57</f>
        <v>-0.9956844577</v>
      </c>
      <c r="D8" s="211">
        <f t="shared" si="1"/>
        <v>-0.9316494257</v>
      </c>
      <c r="E8" s="139">
        <f t="shared" si="1"/>
        <v>-0.7928928678</v>
      </c>
      <c r="F8" s="201"/>
    </row>
    <row r="9" ht="19.5" customHeight="1">
      <c r="A9" s="199"/>
      <c r="B9" s="206" t="s">
        <v>398</v>
      </c>
      <c r="C9" s="152">
        <v>-52273.2</v>
      </c>
      <c r="D9" s="212">
        <v>79696.0</v>
      </c>
      <c r="E9" s="213">
        <v>365597.2</v>
      </c>
      <c r="F9" s="201"/>
    </row>
    <row r="10" ht="18.0" customHeight="1">
      <c r="A10" s="199"/>
      <c r="B10" s="206" t="s">
        <v>429</v>
      </c>
      <c r="C10" s="214">
        <v>0.115</v>
      </c>
      <c r="D10" s="215">
        <v>1.281</v>
      </c>
      <c r="E10" s="159">
        <v>0.943</v>
      </c>
      <c r="F10" s="201"/>
    </row>
    <row r="11" ht="18.0" customHeight="1">
      <c r="A11" s="199"/>
      <c r="B11" s="200" t="s">
        <v>465</v>
      </c>
      <c r="C11" s="2"/>
      <c r="D11" s="2"/>
      <c r="E11" s="3"/>
      <c r="F11" s="201"/>
    </row>
    <row r="12" ht="18.0" customHeight="1">
      <c r="A12" s="199"/>
      <c r="B12" s="202" t="s">
        <v>423</v>
      </c>
      <c r="C12" s="203" t="s">
        <v>35</v>
      </c>
      <c r="D12" s="204" t="s">
        <v>36</v>
      </c>
      <c r="E12" s="205" t="s">
        <v>37</v>
      </c>
      <c r="F12" s="201"/>
    </row>
    <row r="13" ht="18.0" customHeight="1">
      <c r="A13" s="199"/>
      <c r="B13" s="206" t="s">
        <v>463</v>
      </c>
      <c r="C13" s="216">
        <v>9.03</v>
      </c>
      <c r="D13" s="208">
        <v>30.46</v>
      </c>
      <c r="E13" s="217">
        <v>63.15</v>
      </c>
      <c r="F13" s="201"/>
    </row>
    <row r="14" ht="18.0" customHeight="1">
      <c r="A14" s="199"/>
      <c r="B14" s="210" t="s">
        <v>464</v>
      </c>
      <c r="C14" s="151">
        <f t="shared" ref="C14:E14" si="2">(C13-157.57)/157.57</f>
        <v>-0.9426921368</v>
      </c>
      <c r="D14" s="211">
        <f t="shared" si="2"/>
        <v>-0.8066890906</v>
      </c>
      <c r="E14" s="139">
        <f t="shared" si="2"/>
        <v>-0.5992257409</v>
      </c>
      <c r="F14" s="201"/>
    </row>
    <row r="15" ht="18.0" customHeight="1">
      <c r="A15" s="199"/>
      <c r="B15" s="206" t="s">
        <v>398</v>
      </c>
      <c r="C15" s="218">
        <v>56940.0</v>
      </c>
      <c r="D15" s="219">
        <v>337155.8</v>
      </c>
      <c r="E15" s="213">
        <v>764573.3</v>
      </c>
      <c r="F15" s="201"/>
    </row>
    <row r="16" ht="18.0" customHeight="1">
      <c r="A16" s="199"/>
      <c r="B16" s="206" t="s">
        <v>429</v>
      </c>
      <c r="C16" s="220">
        <v>1.813</v>
      </c>
      <c r="D16" s="215">
        <v>1.066</v>
      </c>
      <c r="E16" s="159">
        <v>0.973</v>
      </c>
      <c r="F16" s="201"/>
    </row>
    <row r="17" ht="21.75" customHeight="1">
      <c r="A17" s="199"/>
      <c r="B17" s="221" t="s">
        <v>466</v>
      </c>
      <c r="C17" s="2"/>
      <c r="D17" s="2"/>
      <c r="E17" s="3"/>
      <c r="F17" s="201"/>
    </row>
    <row r="18" ht="19.5" customHeight="1">
      <c r="A18" s="199"/>
      <c r="B18" s="202" t="s">
        <v>34</v>
      </c>
      <c r="C18" s="203" t="s">
        <v>35</v>
      </c>
      <c r="D18" s="204" t="s">
        <v>36</v>
      </c>
      <c r="E18" s="205" t="s">
        <v>37</v>
      </c>
      <c r="F18" s="201"/>
    </row>
    <row r="19" ht="19.5" customHeight="1">
      <c r="A19" s="199"/>
      <c r="B19" s="206" t="s">
        <v>123</v>
      </c>
      <c r="C19" s="222" t="s">
        <v>467</v>
      </c>
      <c r="D19" s="223" t="s">
        <v>468</v>
      </c>
      <c r="E19" s="224" t="s">
        <v>469</v>
      </c>
      <c r="F19" s="201"/>
    </row>
    <row r="20" ht="19.5" customHeight="1">
      <c r="A20" s="199"/>
      <c r="B20" s="206" t="s">
        <v>470</v>
      </c>
      <c r="C20" s="222" t="s">
        <v>471</v>
      </c>
      <c r="D20" s="223" t="s">
        <v>472</v>
      </c>
      <c r="E20" s="224" t="s">
        <v>473</v>
      </c>
      <c r="F20" s="201"/>
    </row>
    <row r="21" ht="19.5" customHeight="1">
      <c r="A21" s="199"/>
      <c r="B21" s="206" t="s">
        <v>474</v>
      </c>
      <c r="C21" s="222" t="s">
        <v>475</v>
      </c>
      <c r="D21" s="223" t="s">
        <v>476</v>
      </c>
      <c r="E21" s="224" t="s">
        <v>477</v>
      </c>
      <c r="F21" s="201"/>
    </row>
    <row r="22" ht="19.5" customHeight="1">
      <c r="A22" s="199"/>
      <c r="B22" s="206" t="s">
        <v>478</v>
      </c>
      <c r="C22" s="222" t="s">
        <v>479</v>
      </c>
      <c r="D22" s="223" t="s">
        <v>480</v>
      </c>
      <c r="E22" s="224" t="s">
        <v>481</v>
      </c>
      <c r="F22" s="201"/>
    </row>
    <row r="23" ht="21.75" customHeight="1">
      <c r="A23" s="199"/>
      <c r="B23" s="221" t="str">
        <f>"REVENUE &amp; EBITDA FORECAST (" &amp; IF(Assumptions!$B$4=1,"BEAR",IF(Assumptions!$B$4=2,"BASE","BULL")) &amp; ", $M)"</f>
        <v>REVENUE &amp; EBITDA FORECAST (BASE, $M)</v>
      </c>
      <c r="C23" s="2"/>
      <c r="D23" s="2"/>
      <c r="E23" s="3"/>
      <c r="F23" s="201"/>
    </row>
    <row r="24" ht="19.5" customHeight="1">
      <c r="A24" s="199"/>
      <c r="B24" s="225"/>
      <c r="C24" s="226" t="s">
        <v>437</v>
      </c>
      <c r="D24" s="226" t="s">
        <v>439</v>
      </c>
      <c r="E24" s="226" t="s">
        <v>441</v>
      </c>
      <c r="F24" s="201"/>
    </row>
    <row r="25" ht="19.5" customHeight="1">
      <c r="A25" s="199"/>
      <c r="B25" s="206" t="s">
        <v>482</v>
      </c>
      <c r="C25" s="227">
        <f>'IS Forecast'!F12</f>
        <v>25227.03</v>
      </c>
      <c r="D25" s="227">
        <f>'IS Forecast'!H12</f>
        <v>43013.35503</v>
      </c>
      <c r="E25" s="227">
        <f>'IS Forecast'!J12</f>
        <v>62751.90005</v>
      </c>
      <c r="F25" s="201"/>
    </row>
    <row r="26" ht="19.5" customHeight="1">
      <c r="A26" s="199"/>
      <c r="B26" s="206" t="s">
        <v>483</v>
      </c>
      <c r="C26" s="227">
        <f>'IS Forecast'!F26</f>
        <v>9353.459472</v>
      </c>
      <c r="D26" s="227">
        <f>'IS Forecast'!H26</f>
        <v>17745.59981</v>
      </c>
      <c r="E26" s="227">
        <f>'IS Forecast'!J26</f>
        <v>30474.57654</v>
      </c>
      <c r="F26" s="201"/>
    </row>
    <row r="27" ht="19.5" customHeight="1">
      <c r="A27" s="199"/>
      <c r="B27" s="206" t="s">
        <v>484</v>
      </c>
      <c r="C27" s="228">
        <f>'IS Forecast'!F26/'IS Forecast'!F12</f>
        <v>0.3707713303</v>
      </c>
      <c r="D27" s="228">
        <f>'IS Forecast'!H26/'IS Forecast'!H12</f>
        <v>0.4125602339</v>
      </c>
      <c r="E27" s="228">
        <f>'IS Forecast'!J26/'IS Forecast'!J12</f>
        <v>0.4856359172</v>
      </c>
      <c r="F27" s="201"/>
    </row>
    <row r="28" ht="17.25" customHeight="1">
      <c r="A28" s="199"/>
      <c r="B28" s="206" t="s">
        <v>485</v>
      </c>
      <c r="C28" s="227">
        <f>DCF!F24</f>
        <v>-10739.40741</v>
      </c>
      <c r="D28" s="227">
        <f>DCF!H24</f>
        <v>-8068.934348</v>
      </c>
      <c r="E28" s="227">
        <f>DCF!J24</f>
        <v>7988.485058</v>
      </c>
      <c r="F28" s="201"/>
    </row>
    <row r="29" ht="21.75" customHeight="1">
      <c r="A29" s="199"/>
      <c r="B29" s="221" t="str">
        <f> "SENSITIVITY ("&amp; IF(Assumptions!$B$4=1,"BEAR",IF(Assumptions!$B$4=2,"BASE","BULL")) &amp; "): IMPLIED PRICE ($)  -  WACC vs Terminal Growth (GGM)"</f>
        <v>SENSITIVITY (BASE): IMPLIED PRICE ($)  -  WACC vs Terminal Growth (GGM)</v>
      </c>
      <c r="C29" s="2"/>
      <c r="D29" s="2"/>
      <c r="E29" s="3"/>
      <c r="F29" s="201"/>
    </row>
    <row r="30" ht="19.5" customHeight="1">
      <c r="A30" s="199"/>
      <c r="B30" s="229" t="s">
        <v>408</v>
      </c>
      <c r="C30" s="230">
        <f>DCF!C62</f>
        <v>0.02</v>
      </c>
      <c r="D30" s="230">
        <f>DCF!E62</f>
        <v>0.025</v>
      </c>
      <c r="E30" s="230">
        <f>DCF!G62</f>
        <v>0.03</v>
      </c>
      <c r="F30" s="201"/>
    </row>
    <row r="31" ht="19.5" customHeight="1">
      <c r="A31" s="199"/>
      <c r="B31" s="231">
        <f>DCF!B63</f>
        <v>0.08841971447</v>
      </c>
      <c r="C31" s="232">
        <f>DCF!C63</f>
        <v>11.62829811</v>
      </c>
      <c r="D31" s="232">
        <f>DCF!E63</f>
        <v>12.3678611</v>
      </c>
      <c r="E31" s="232">
        <f>DCF!G63</f>
        <v>13.23401884</v>
      </c>
      <c r="F31" s="201"/>
    </row>
    <row r="32" ht="19.5" customHeight="1">
      <c r="A32" s="199"/>
      <c r="B32" s="231">
        <f>DCF!B65</f>
        <v>0.09841971447</v>
      </c>
      <c r="C32" s="232">
        <f>DCF!C65</f>
        <v>10.22837391</v>
      </c>
      <c r="D32" s="233">
        <f>DCF!E65</f>
        <v>10.76912264</v>
      </c>
      <c r="E32" s="232">
        <f>DCF!G65</f>
        <v>11.38890541</v>
      </c>
      <c r="F32" s="201"/>
    </row>
    <row r="33" ht="19.5" customHeight="1">
      <c r="A33" s="199"/>
      <c r="B33" s="231">
        <f>DCF!B67</f>
        <v>0.1084197145</v>
      </c>
      <c r="C33" s="232">
        <f>DCF!C67</f>
        <v>9.161078338</v>
      </c>
      <c r="D33" s="232">
        <f>DCF!E67</f>
        <v>9.570696773</v>
      </c>
      <c r="E33" s="232">
        <f>DCF!G67</f>
        <v>10.03254932</v>
      </c>
      <c r="F33" s="201"/>
    </row>
    <row r="34" ht="21.75" customHeight="1">
      <c r="A34" s="199"/>
      <c r="B34" s="221" t="str">
        <f>"SEGMENT SNAPSHOT  (FY25A Actuals &amp; FY30E Base Forecast, $M) - "&amp; IF(Assumptions!$B$4=1,"BEAR",IF(Assumptions!$B$4=2,"BASE","BULL"))</f>
        <v>SEGMENT SNAPSHOT  (FY25A Actuals &amp; FY30E Base Forecast, $M) - BASE</v>
      </c>
      <c r="C34" s="2"/>
      <c r="D34" s="2"/>
      <c r="E34" s="3"/>
      <c r="F34" s="201"/>
    </row>
    <row r="35" ht="19.5" customHeight="1">
      <c r="A35" s="199"/>
      <c r="B35" s="234" t="s">
        <v>486</v>
      </c>
      <c r="C35" s="234" t="s">
        <v>487</v>
      </c>
      <c r="D35" s="234" t="s">
        <v>488</v>
      </c>
      <c r="E35" s="234" t="s">
        <v>489</v>
      </c>
      <c r="F35" s="201"/>
    </row>
    <row r="36" ht="15.75" customHeight="1">
      <c r="A36" s="199"/>
      <c r="B36" s="206" t="s">
        <v>490</v>
      </c>
      <c r="C36" s="235">
        <f>Input!E16</f>
        <v>4086</v>
      </c>
      <c r="D36" s="235">
        <f>'IS Forecast'!J6</f>
        <v>6577.824807</v>
      </c>
      <c r="E36" s="236">
        <f>'IS Forecast'!J18/'IS Forecast'!J6</f>
        <v>0.2352</v>
      </c>
      <c r="F36" s="201"/>
    </row>
    <row r="37" ht="21.75" customHeight="1">
      <c r="A37" s="199"/>
      <c r="B37" s="206" t="s">
        <v>491</v>
      </c>
      <c r="C37" s="235">
        <f>Input!E17</f>
        <v>11387</v>
      </c>
      <c r="D37" s="235">
        <f>'IS Forecast'!J8</f>
        <v>34472.71913</v>
      </c>
      <c r="E37" s="236">
        <f>'IS Forecast'!J21/'IS Forecast'!J8</f>
        <v>0.6664</v>
      </c>
      <c r="F37" s="201"/>
    </row>
    <row r="38" ht="19.5" customHeight="1">
      <c r="A38" s="199"/>
      <c r="B38" s="206" t="s">
        <v>492</v>
      </c>
      <c r="C38" s="235">
        <f>Input!E18</f>
        <v>3201</v>
      </c>
      <c r="D38" s="235">
        <f>'IS Forecast'!J10</f>
        <v>21701.35612</v>
      </c>
      <c r="E38" s="236">
        <f>'IS Forecast'!J24/'IS Forecast'!J10</f>
        <v>0.2744</v>
      </c>
      <c r="F38" s="201"/>
    </row>
    <row r="39" ht="19.5" customHeight="1">
      <c r="A39" s="199"/>
      <c r="B39" s="237" t="s">
        <v>493</v>
      </c>
      <c r="C39" s="238">
        <f>Input!E15</f>
        <v>18674</v>
      </c>
      <c r="D39" s="238">
        <f>'IS Forecast'!J12</f>
        <v>62751.90005</v>
      </c>
      <c r="E39" s="239">
        <f>'IS Forecast'!J26/'IS Forecast'!J12</f>
        <v>0.4856359172</v>
      </c>
      <c r="F39" s="201"/>
    </row>
    <row r="40" ht="9.75" customHeight="1">
      <c r="A40" s="240"/>
      <c r="B40" s="241"/>
      <c r="C40" s="241"/>
      <c r="D40" s="241"/>
      <c r="E40" s="241"/>
      <c r="F40" s="242"/>
    </row>
    <row r="41" ht="30.0" customHeight="1">
      <c r="A41" s="243"/>
      <c r="B41" s="244" t="s">
        <v>494</v>
      </c>
      <c r="C41" s="2"/>
      <c r="D41" s="2"/>
      <c r="E41" s="3"/>
      <c r="F41" s="245"/>
    </row>
    <row r="42" ht="9.75" customHeight="1">
      <c r="A42" s="246"/>
      <c r="B42" s="247"/>
      <c r="C42" s="247"/>
      <c r="D42" s="247"/>
      <c r="E42" s="247"/>
      <c r="F42" s="248"/>
    </row>
    <row r="43" ht="15.75" customHeight="1">
      <c r="A43" s="5"/>
      <c r="B43" s="5"/>
      <c r="C43" s="5"/>
      <c r="D43" s="5"/>
      <c r="E43" s="5"/>
      <c r="F43" s="5"/>
    </row>
    <row r="44" ht="15.75" customHeight="1">
      <c r="A44" s="5"/>
      <c r="B44" s="5"/>
      <c r="C44" s="5"/>
      <c r="D44" s="5"/>
      <c r="E44" s="5"/>
      <c r="F44" s="5"/>
    </row>
    <row r="45" ht="15.75" customHeight="1">
      <c r="A45" s="5"/>
      <c r="B45" s="5"/>
      <c r="C45" s="5"/>
      <c r="D45" s="5"/>
      <c r="E45" s="5"/>
      <c r="F45" s="5"/>
    </row>
    <row r="46" ht="15.75" customHeight="1">
      <c r="A46" s="5"/>
      <c r="B46" s="5"/>
      <c r="C46" s="5"/>
      <c r="D46" s="5"/>
      <c r="E46" s="5"/>
      <c r="F46" s="5"/>
    </row>
    <row r="47" ht="15.75" customHeight="1">
      <c r="A47" s="5"/>
      <c r="B47" s="5"/>
      <c r="C47" s="5"/>
      <c r="D47" s="5"/>
      <c r="E47" s="5"/>
      <c r="F47" s="5"/>
    </row>
    <row r="48" ht="15.75" customHeight="1">
      <c r="A48" s="5"/>
      <c r="B48" s="5"/>
      <c r="C48" s="5"/>
      <c r="D48" s="5"/>
      <c r="E48" s="5"/>
      <c r="F48" s="5"/>
    </row>
    <row r="49" ht="15.75" customHeight="1">
      <c r="A49" s="5"/>
      <c r="B49" s="5"/>
      <c r="C49" s="5"/>
      <c r="D49" s="5"/>
      <c r="E49" s="5"/>
      <c r="F49" s="5"/>
    </row>
    <row r="50" ht="15.75" customHeight="1">
      <c r="A50" s="5"/>
      <c r="B50" s="5"/>
      <c r="C50" s="5"/>
      <c r="D50" s="5"/>
      <c r="E50" s="5"/>
      <c r="F50" s="5"/>
    </row>
    <row r="51" ht="15.75" customHeight="1">
      <c r="A51" s="5"/>
      <c r="B51" s="5"/>
      <c r="C51" s="5"/>
      <c r="D51" s="5"/>
      <c r="E51" s="5"/>
      <c r="F51" s="5"/>
    </row>
    <row r="52" ht="15.75" customHeight="1">
      <c r="A52" s="5"/>
      <c r="B52" s="5"/>
      <c r="C52" s="5"/>
      <c r="D52" s="5"/>
      <c r="E52" s="5"/>
      <c r="F52" s="5"/>
    </row>
    <row r="53" ht="15.75" customHeight="1">
      <c r="A53" s="5"/>
      <c r="B53" s="5"/>
      <c r="C53" s="5"/>
      <c r="D53" s="5"/>
      <c r="E53" s="5"/>
      <c r="F53" s="5"/>
    </row>
    <row r="54" ht="15.75" customHeight="1">
      <c r="A54" s="5"/>
      <c r="B54" s="5"/>
      <c r="C54" s="5"/>
      <c r="D54" s="5"/>
      <c r="E54" s="5"/>
      <c r="F54" s="5"/>
    </row>
    <row r="55" ht="15.75" customHeight="1">
      <c r="A55" s="5"/>
      <c r="B55" s="5"/>
      <c r="C55" s="5"/>
      <c r="D55" s="5"/>
      <c r="E55" s="5"/>
      <c r="F55" s="5"/>
    </row>
    <row r="56" ht="15.75" customHeight="1">
      <c r="A56" s="5"/>
      <c r="B56" s="5"/>
      <c r="C56" s="5"/>
      <c r="D56" s="5"/>
      <c r="E56" s="5"/>
      <c r="F56" s="5"/>
    </row>
    <row r="57" ht="15.75" customHeight="1">
      <c r="A57" s="5"/>
      <c r="B57" s="5"/>
      <c r="C57" s="5"/>
      <c r="D57" s="5"/>
      <c r="E57" s="5"/>
      <c r="F57" s="5"/>
    </row>
    <row r="58" ht="15.75" customHeight="1">
      <c r="A58" s="5"/>
      <c r="B58" s="5"/>
      <c r="C58" s="5"/>
      <c r="D58" s="5"/>
      <c r="E58" s="5"/>
      <c r="F58" s="5"/>
    </row>
    <row r="59" ht="15.75" customHeight="1">
      <c r="A59" s="5"/>
      <c r="B59" s="5"/>
      <c r="C59" s="5"/>
      <c r="D59" s="5"/>
      <c r="E59" s="5"/>
      <c r="F59" s="5"/>
    </row>
    <row r="60" ht="15.75" customHeight="1">
      <c r="A60" s="5"/>
      <c r="B60" s="5"/>
      <c r="C60" s="5"/>
      <c r="D60" s="5"/>
      <c r="E60" s="5"/>
      <c r="F60" s="5"/>
    </row>
    <row r="61" ht="15.75" customHeight="1">
      <c r="A61" s="5"/>
      <c r="B61" s="5"/>
      <c r="C61" s="5"/>
      <c r="D61" s="5"/>
      <c r="E61" s="5"/>
      <c r="F61" s="5"/>
    </row>
    <row r="62" ht="15.75" customHeight="1">
      <c r="A62" s="5"/>
      <c r="B62" s="5"/>
      <c r="C62" s="5"/>
      <c r="D62" s="5"/>
      <c r="E62" s="5"/>
      <c r="F62" s="5"/>
    </row>
    <row r="63" ht="15.75" customHeight="1">
      <c r="A63" s="5"/>
      <c r="B63" s="5"/>
      <c r="C63" s="5"/>
      <c r="D63" s="5"/>
      <c r="E63" s="5"/>
      <c r="F63" s="5"/>
    </row>
    <row r="64" ht="15.75" customHeight="1">
      <c r="A64" s="5"/>
      <c r="B64" s="5"/>
      <c r="C64" s="5"/>
      <c r="D64" s="5"/>
      <c r="E64" s="5"/>
      <c r="F64" s="5"/>
    </row>
    <row r="65" ht="15.75" customHeight="1">
      <c r="A65" s="5"/>
      <c r="B65" s="5"/>
      <c r="C65" s="5"/>
      <c r="D65" s="5"/>
      <c r="E65" s="5"/>
      <c r="F65" s="5"/>
    </row>
    <row r="66" ht="15.75" customHeight="1">
      <c r="A66" s="5"/>
      <c r="B66" s="5"/>
      <c r="C66" s="5"/>
      <c r="D66" s="5"/>
      <c r="E66" s="5"/>
      <c r="F66" s="5"/>
    </row>
    <row r="67" ht="15.75" customHeight="1">
      <c r="A67" s="5"/>
      <c r="B67" s="5"/>
      <c r="C67" s="5"/>
      <c r="D67" s="5"/>
      <c r="E67" s="5"/>
      <c r="F67" s="5"/>
    </row>
    <row r="68" ht="15.75" customHeight="1">
      <c r="A68" s="5"/>
      <c r="B68" s="5"/>
      <c r="C68" s="5"/>
      <c r="D68" s="5"/>
      <c r="E68" s="5"/>
      <c r="F68" s="5"/>
    </row>
    <row r="69" ht="15.75" customHeight="1">
      <c r="A69" s="5"/>
      <c r="B69" s="5"/>
      <c r="C69" s="5"/>
      <c r="D69" s="5"/>
      <c r="E69" s="5"/>
      <c r="F69" s="5"/>
    </row>
    <row r="70" ht="15.75" customHeight="1">
      <c r="A70" s="5"/>
      <c r="B70" s="5"/>
      <c r="C70" s="5"/>
      <c r="D70" s="5"/>
      <c r="E70" s="5"/>
      <c r="F70" s="5"/>
    </row>
    <row r="71" ht="15.75" customHeight="1">
      <c r="A71" s="5"/>
      <c r="B71" s="5"/>
      <c r="C71" s="5"/>
      <c r="D71" s="5"/>
      <c r="E71" s="5"/>
      <c r="F71" s="5"/>
    </row>
    <row r="72" ht="15.75" customHeight="1">
      <c r="A72" s="5"/>
      <c r="B72" s="5"/>
      <c r="C72" s="5"/>
      <c r="D72" s="5"/>
      <c r="E72" s="5"/>
      <c r="F72" s="5"/>
    </row>
    <row r="73" ht="15.75" customHeight="1">
      <c r="A73" s="5"/>
      <c r="B73" s="5"/>
      <c r="C73" s="5"/>
      <c r="D73" s="5"/>
      <c r="E73" s="5"/>
      <c r="F73" s="5"/>
    </row>
    <row r="74" ht="15.75" customHeight="1">
      <c r="A74" s="5"/>
      <c r="B74" s="5"/>
      <c r="C74" s="5"/>
      <c r="D74" s="5"/>
      <c r="E74" s="5"/>
      <c r="F74" s="5"/>
    </row>
    <row r="75" ht="15.75" customHeight="1">
      <c r="A75" s="5"/>
      <c r="B75" s="5"/>
      <c r="C75" s="5"/>
      <c r="D75" s="5"/>
      <c r="E75" s="5"/>
      <c r="F75" s="5"/>
    </row>
    <row r="76" ht="15.75" customHeight="1">
      <c r="A76" s="5"/>
      <c r="B76" s="5"/>
      <c r="C76" s="5"/>
      <c r="D76" s="5"/>
      <c r="E76" s="5"/>
      <c r="F76" s="5"/>
    </row>
    <row r="77" ht="15.75" customHeight="1">
      <c r="A77" s="5"/>
      <c r="B77" s="5"/>
      <c r="C77" s="5"/>
      <c r="D77" s="5"/>
      <c r="E77" s="5"/>
      <c r="F77" s="5"/>
    </row>
    <row r="78" ht="15.75" customHeight="1">
      <c r="A78" s="5"/>
      <c r="B78" s="5"/>
      <c r="C78" s="5"/>
      <c r="D78" s="5"/>
      <c r="E78" s="5"/>
      <c r="F78" s="5"/>
    </row>
    <row r="79" ht="15.75" customHeight="1">
      <c r="A79" s="5"/>
      <c r="B79" s="5"/>
      <c r="C79" s="5"/>
      <c r="D79" s="5"/>
      <c r="E79" s="5"/>
      <c r="F79" s="5"/>
    </row>
    <row r="80" ht="15.75" customHeight="1">
      <c r="A80" s="5"/>
      <c r="B80" s="5"/>
      <c r="C80" s="5"/>
      <c r="D80" s="5"/>
      <c r="E80" s="5"/>
      <c r="F80" s="5"/>
    </row>
    <row r="81" ht="15.75" customHeight="1">
      <c r="A81" s="5"/>
      <c r="B81" s="5"/>
      <c r="C81" s="5"/>
      <c r="D81" s="5"/>
      <c r="E81" s="5"/>
      <c r="F81" s="5"/>
    </row>
    <row r="82" ht="15.75" customHeight="1">
      <c r="A82" s="5"/>
      <c r="B82" s="5"/>
      <c r="C82" s="5"/>
      <c r="D82" s="5"/>
      <c r="E82" s="5"/>
      <c r="F82" s="5"/>
    </row>
    <row r="83" ht="15.75" customHeight="1">
      <c r="A83" s="5"/>
      <c r="B83" s="5"/>
      <c r="C83" s="5"/>
      <c r="D83" s="5"/>
      <c r="E83" s="5"/>
      <c r="F83" s="5"/>
    </row>
    <row r="84" ht="15.75" customHeight="1">
      <c r="A84" s="5"/>
      <c r="B84" s="5"/>
      <c r="C84" s="5"/>
      <c r="D84" s="5"/>
      <c r="E84" s="5"/>
      <c r="F84" s="5"/>
    </row>
    <row r="85" ht="15.75" customHeight="1">
      <c r="A85" s="5"/>
      <c r="B85" s="5"/>
      <c r="C85" s="5"/>
      <c r="D85" s="5"/>
      <c r="E85" s="5"/>
      <c r="F85" s="5"/>
    </row>
    <row r="86" ht="15.75" customHeight="1">
      <c r="A86" s="5"/>
      <c r="B86" s="5"/>
      <c r="C86" s="5"/>
      <c r="D86" s="5"/>
      <c r="E86" s="5"/>
      <c r="F86" s="5"/>
    </row>
    <row r="87" ht="15.75" customHeight="1">
      <c r="A87" s="5"/>
      <c r="B87" s="5"/>
      <c r="C87" s="5"/>
      <c r="D87" s="5"/>
      <c r="E87" s="5"/>
      <c r="F87" s="5"/>
    </row>
    <row r="88" ht="15.75" customHeight="1">
      <c r="A88" s="5"/>
      <c r="B88" s="5"/>
      <c r="C88" s="5"/>
      <c r="D88" s="5"/>
      <c r="E88" s="5"/>
      <c r="F88" s="5"/>
    </row>
    <row r="89" ht="15.75" customHeight="1">
      <c r="A89" s="5"/>
      <c r="B89" s="5"/>
      <c r="C89" s="5"/>
      <c r="D89" s="5"/>
      <c r="E89" s="5"/>
      <c r="F89" s="5"/>
    </row>
    <row r="90" ht="15.75" customHeight="1">
      <c r="A90" s="5"/>
      <c r="B90" s="5"/>
      <c r="C90" s="5"/>
      <c r="D90" s="5"/>
      <c r="E90" s="5"/>
      <c r="F90" s="5"/>
    </row>
    <row r="91" ht="15.75" customHeight="1">
      <c r="A91" s="5"/>
      <c r="B91" s="5"/>
      <c r="C91" s="5"/>
      <c r="D91" s="5"/>
      <c r="E91" s="5"/>
      <c r="F91" s="5"/>
    </row>
    <row r="92" ht="15.75" customHeight="1">
      <c r="A92" s="5"/>
      <c r="B92" s="5"/>
      <c r="C92" s="5"/>
      <c r="D92" s="5"/>
      <c r="E92" s="5"/>
      <c r="F92" s="5"/>
    </row>
    <row r="93" ht="15.75" customHeight="1">
      <c r="A93" s="5"/>
      <c r="B93" s="5"/>
      <c r="C93" s="5"/>
      <c r="D93" s="5"/>
      <c r="E93" s="5"/>
      <c r="F93" s="5"/>
    </row>
    <row r="94" ht="15.75" customHeight="1">
      <c r="A94" s="5"/>
      <c r="B94" s="5"/>
      <c r="C94" s="5"/>
      <c r="D94" s="5"/>
      <c r="E94" s="5"/>
      <c r="F94" s="5"/>
    </row>
    <row r="95" ht="15.75" customHeight="1">
      <c r="A95" s="5"/>
      <c r="B95" s="5"/>
      <c r="C95" s="5"/>
      <c r="D95" s="5"/>
      <c r="E95" s="5"/>
      <c r="F95" s="5"/>
    </row>
    <row r="96" ht="15.75" customHeight="1">
      <c r="A96" s="5"/>
      <c r="B96" s="5"/>
      <c r="C96" s="5"/>
      <c r="D96" s="5"/>
      <c r="E96" s="5"/>
      <c r="F96" s="5"/>
    </row>
    <row r="97" ht="15.75" customHeight="1">
      <c r="A97" s="5"/>
      <c r="B97" s="5"/>
      <c r="C97" s="5"/>
      <c r="D97" s="5"/>
      <c r="E97" s="5"/>
      <c r="F97" s="5"/>
    </row>
    <row r="98" ht="15.75" customHeight="1">
      <c r="A98" s="5"/>
      <c r="B98" s="5"/>
      <c r="C98" s="5"/>
      <c r="D98" s="5"/>
      <c r="E98" s="5"/>
      <c r="F98" s="5"/>
    </row>
    <row r="99" ht="15.75" customHeight="1">
      <c r="A99" s="5"/>
      <c r="B99" s="5"/>
      <c r="C99" s="5"/>
      <c r="D99" s="5"/>
      <c r="E99" s="5"/>
      <c r="F99" s="5"/>
    </row>
    <row r="100" ht="15.75" customHeight="1">
      <c r="A100" s="5"/>
      <c r="B100" s="5"/>
      <c r="C100" s="5"/>
      <c r="D100" s="5"/>
      <c r="E100" s="5"/>
      <c r="F100" s="5"/>
    </row>
    <row r="101" ht="15.75" customHeight="1">
      <c r="A101" s="5"/>
      <c r="B101" s="5"/>
      <c r="C101" s="5"/>
      <c r="D101" s="5"/>
      <c r="E101" s="5"/>
      <c r="F101" s="5"/>
    </row>
    <row r="102" ht="15.75" customHeight="1">
      <c r="A102" s="5"/>
      <c r="B102" s="5"/>
      <c r="C102" s="5"/>
      <c r="D102" s="5"/>
      <c r="E102" s="5"/>
      <c r="F102" s="5"/>
    </row>
    <row r="103" ht="15.75" customHeight="1">
      <c r="A103" s="5"/>
      <c r="B103" s="5"/>
      <c r="C103" s="5"/>
      <c r="D103" s="5"/>
      <c r="E103" s="5"/>
      <c r="F103" s="5"/>
    </row>
    <row r="104" ht="15.75" customHeight="1">
      <c r="A104" s="5"/>
      <c r="B104" s="5"/>
      <c r="C104" s="5"/>
      <c r="D104" s="5"/>
      <c r="E104" s="5"/>
      <c r="F104" s="5"/>
    </row>
    <row r="105" ht="15.75" customHeight="1">
      <c r="A105" s="5"/>
      <c r="B105" s="5"/>
      <c r="C105" s="5"/>
      <c r="D105" s="5"/>
      <c r="E105" s="5"/>
      <c r="F105" s="5"/>
    </row>
    <row r="106" ht="15.75" customHeight="1">
      <c r="A106" s="5"/>
      <c r="B106" s="5"/>
      <c r="C106" s="5"/>
      <c r="D106" s="5"/>
      <c r="E106" s="5"/>
      <c r="F106" s="5"/>
    </row>
    <row r="107" ht="15.75" customHeight="1">
      <c r="A107" s="5"/>
      <c r="B107" s="5"/>
      <c r="C107" s="5"/>
      <c r="D107" s="5"/>
      <c r="E107" s="5"/>
      <c r="F107" s="5"/>
    </row>
    <row r="108" ht="15.75" customHeight="1">
      <c r="A108" s="5"/>
      <c r="B108" s="5"/>
      <c r="C108" s="5"/>
      <c r="D108" s="5"/>
      <c r="E108" s="5"/>
      <c r="F108" s="5"/>
    </row>
    <row r="109" ht="15.75" customHeight="1">
      <c r="A109" s="5"/>
      <c r="B109" s="5"/>
      <c r="C109" s="5"/>
      <c r="D109" s="5"/>
      <c r="E109" s="5"/>
      <c r="F109" s="5"/>
    </row>
    <row r="110" ht="15.75" customHeight="1">
      <c r="A110" s="5"/>
      <c r="B110" s="5"/>
      <c r="C110" s="5"/>
      <c r="D110" s="5"/>
      <c r="E110" s="5"/>
      <c r="F110" s="5"/>
    </row>
    <row r="111" ht="15.75" customHeight="1">
      <c r="A111" s="5"/>
      <c r="B111" s="5"/>
      <c r="C111" s="5"/>
      <c r="D111" s="5"/>
      <c r="E111" s="5"/>
      <c r="F111" s="5"/>
    </row>
    <row r="112" ht="15.75" customHeight="1">
      <c r="A112" s="5"/>
      <c r="B112" s="5"/>
      <c r="C112" s="5"/>
      <c r="D112" s="5"/>
      <c r="E112" s="5"/>
      <c r="F112" s="5"/>
    </row>
    <row r="113" ht="15.75" customHeight="1">
      <c r="A113" s="5"/>
      <c r="B113" s="5"/>
      <c r="C113" s="5"/>
      <c r="D113" s="5"/>
      <c r="E113" s="5"/>
      <c r="F113" s="5"/>
    </row>
    <row r="114" ht="15.75" customHeight="1">
      <c r="A114" s="5"/>
      <c r="B114" s="5"/>
      <c r="C114" s="5"/>
      <c r="D114" s="5"/>
      <c r="E114" s="5"/>
      <c r="F114" s="5"/>
    </row>
    <row r="115" ht="15.75" customHeight="1">
      <c r="A115" s="5"/>
      <c r="B115" s="5"/>
      <c r="C115" s="5"/>
      <c r="D115" s="5"/>
      <c r="E115" s="5"/>
      <c r="F115" s="5"/>
    </row>
    <row r="116" ht="15.75" customHeight="1">
      <c r="A116" s="5"/>
      <c r="B116" s="5"/>
      <c r="C116" s="5"/>
      <c r="D116" s="5"/>
      <c r="E116" s="5"/>
      <c r="F116" s="5"/>
    </row>
    <row r="117" ht="15.75" customHeight="1">
      <c r="A117" s="5"/>
      <c r="B117" s="5"/>
      <c r="C117" s="5"/>
      <c r="D117" s="5"/>
      <c r="E117" s="5"/>
      <c r="F117" s="5"/>
    </row>
    <row r="118" ht="15.75" customHeight="1">
      <c r="A118" s="5"/>
      <c r="B118" s="5"/>
      <c r="C118" s="5"/>
      <c r="D118" s="5"/>
      <c r="E118" s="5"/>
      <c r="F118" s="5"/>
    </row>
    <row r="119" ht="15.75" customHeight="1">
      <c r="A119" s="5"/>
      <c r="B119" s="5"/>
      <c r="C119" s="5"/>
      <c r="D119" s="5"/>
      <c r="E119" s="5"/>
      <c r="F119" s="5"/>
    </row>
    <row r="120" ht="15.75" customHeight="1">
      <c r="A120" s="5"/>
      <c r="B120" s="5"/>
      <c r="C120" s="5"/>
      <c r="D120" s="5"/>
      <c r="E120" s="5"/>
      <c r="F120" s="5"/>
    </row>
    <row r="121" ht="15.75" customHeight="1">
      <c r="A121" s="5"/>
      <c r="B121" s="5"/>
      <c r="C121" s="5"/>
      <c r="D121" s="5"/>
      <c r="E121" s="5"/>
      <c r="F121" s="5"/>
    </row>
    <row r="122" ht="15.75" customHeight="1">
      <c r="A122" s="5"/>
      <c r="B122" s="5"/>
      <c r="C122" s="5"/>
      <c r="D122" s="5"/>
      <c r="E122" s="5"/>
      <c r="F122" s="5"/>
    </row>
    <row r="123" ht="15.75" customHeight="1">
      <c r="A123" s="5"/>
      <c r="B123" s="5"/>
      <c r="C123" s="5"/>
      <c r="D123" s="5"/>
      <c r="E123" s="5"/>
      <c r="F123" s="5"/>
    </row>
    <row r="124" ht="15.75" customHeight="1">
      <c r="A124" s="5"/>
      <c r="B124" s="5"/>
      <c r="C124" s="5"/>
      <c r="D124" s="5"/>
      <c r="E124" s="5"/>
      <c r="F124" s="5"/>
    </row>
    <row r="125" ht="15.75" customHeight="1">
      <c r="A125" s="5"/>
      <c r="B125" s="5"/>
      <c r="C125" s="5"/>
      <c r="D125" s="5"/>
      <c r="E125" s="5"/>
      <c r="F125" s="5"/>
    </row>
    <row r="126" ht="15.75" customHeight="1">
      <c r="A126" s="5"/>
      <c r="B126" s="5"/>
      <c r="C126" s="5"/>
      <c r="D126" s="5"/>
      <c r="E126" s="5"/>
      <c r="F126" s="5"/>
    </row>
    <row r="127" ht="15.75" customHeight="1">
      <c r="A127" s="5"/>
      <c r="B127" s="5"/>
      <c r="C127" s="5"/>
      <c r="D127" s="5"/>
      <c r="E127" s="5"/>
      <c r="F127" s="5"/>
    </row>
    <row r="128" ht="15.75" customHeight="1">
      <c r="A128" s="5"/>
      <c r="B128" s="5"/>
      <c r="C128" s="5"/>
      <c r="D128" s="5"/>
      <c r="E128" s="5"/>
      <c r="F128" s="5"/>
    </row>
    <row r="129" ht="15.75" customHeight="1">
      <c r="A129" s="5"/>
      <c r="B129" s="5"/>
      <c r="C129" s="5"/>
      <c r="D129" s="5"/>
      <c r="E129" s="5"/>
      <c r="F129" s="5"/>
    </row>
    <row r="130" ht="15.75" customHeight="1">
      <c r="A130" s="5"/>
      <c r="B130" s="5"/>
      <c r="C130" s="5"/>
      <c r="D130" s="5"/>
      <c r="E130" s="5"/>
      <c r="F130" s="5"/>
    </row>
    <row r="131" ht="15.75" customHeight="1">
      <c r="A131" s="5"/>
      <c r="B131" s="5"/>
      <c r="C131" s="5"/>
      <c r="D131" s="5"/>
      <c r="E131" s="5"/>
      <c r="F131" s="5"/>
    </row>
    <row r="132" ht="15.75" customHeight="1">
      <c r="A132" s="5"/>
      <c r="B132" s="5"/>
      <c r="C132" s="5"/>
      <c r="D132" s="5"/>
      <c r="E132" s="5"/>
      <c r="F132" s="5"/>
    </row>
    <row r="133" ht="15.75" customHeight="1">
      <c r="A133" s="5"/>
      <c r="B133" s="5"/>
      <c r="C133" s="5"/>
      <c r="D133" s="5"/>
      <c r="E133" s="5"/>
      <c r="F133" s="5"/>
    </row>
    <row r="134" ht="15.75" customHeight="1">
      <c r="A134" s="5"/>
      <c r="B134" s="5"/>
      <c r="C134" s="5"/>
      <c r="D134" s="5"/>
      <c r="E134" s="5"/>
      <c r="F134" s="5"/>
    </row>
    <row r="135" ht="15.75" customHeight="1">
      <c r="A135" s="5"/>
      <c r="B135" s="5"/>
      <c r="C135" s="5"/>
      <c r="D135" s="5"/>
      <c r="E135" s="5"/>
      <c r="F135" s="5"/>
    </row>
    <row r="136" ht="15.75" customHeight="1">
      <c r="A136" s="5"/>
      <c r="B136" s="5"/>
      <c r="C136" s="5"/>
      <c r="D136" s="5"/>
      <c r="E136" s="5"/>
      <c r="F136" s="5"/>
    </row>
    <row r="137" ht="15.75" customHeight="1">
      <c r="A137" s="5"/>
      <c r="B137" s="5"/>
      <c r="C137" s="5"/>
      <c r="D137" s="5"/>
      <c r="E137" s="5"/>
      <c r="F137" s="5"/>
    </row>
    <row r="138" ht="15.75" customHeight="1">
      <c r="A138" s="5"/>
      <c r="B138" s="5"/>
      <c r="C138" s="5"/>
      <c r="D138" s="5"/>
      <c r="E138" s="5"/>
      <c r="F138" s="5"/>
    </row>
    <row r="139" ht="15.75" customHeight="1">
      <c r="A139" s="5"/>
      <c r="B139" s="5"/>
      <c r="C139" s="5"/>
      <c r="D139" s="5"/>
      <c r="E139" s="5"/>
      <c r="F139" s="5"/>
    </row>
    <row r="140" ht="15.75" customHeight="1">
      <c r="A140" s="5"/>
      <c r="B140" s="5"/>
      <c r="C140" s="5"/>
      <c r="D140" s="5"/>
      <c r="E140" s="5"/>
      <c r="F140" s="5"/>
    </row>
    <row r="141" ht="15.75" customHeight="1">
      <c r="A141" s="5"/>
      <c r="B141" s="5"/>
      <c r="C141" s="5"/>
      <c r="D141" s="5"/>
      <c r="E141" s="5"/>
      <c r="F141" s="5"/>
    </row>
    <row r="142" ht="15.75" customHeight="1">
      <c r="A142" s="5"/>
      <c r="B142" s="5"/>
      <c r="C142" s="5"/>
      <c r="D142" s="5"/>
      <c r="E142" s="5"/>
      <c r="F142" s="5"/>
    </row>
    <row r="143" ht="15.75" customHeight="1">
      <c r="A143" s="5"/>
      <c r="B143" s="5"/>
      <c r="C143" s="5"/>
      <c r="D143" s="5"/>
      <c r="E143" s="5"/>
      <c r="F143" s="5"/>
    </row>
    <row r="144" ht="15.75" customHeight="1">
      <c r="A144" s="5"/>
      <c r="B144" s="5"/>
      <c r="C144" s="5"/>
      <c r="D144" s="5"/>
      <c r="E144" s="5"/>
      <c r="F144" s="5"/>
    </row>
    <row r="145" ht="15.75" customHeight="1">
      <c r="A145" s="5"/>
      <c r="B145" s="5"/>
      <c r="C145" s="5"/>
      <c r="D145" s="5"/>
      <c r="E145" s="5"/>
      <c r="F145" s="5"/>
    </row>
    <row r="146" ht="15.75" customHeight="1">
      <c r="A146" s="5"/>
      <c r="B146" s="5"/>
      <c r="C146" s="5"/>
      <c r="D146" s="5"/>
      <c r="E146" s="5"/>
      <c r="F146" s="5"/>
    </row>
    <row r="147" ht="15.75" customHeight="1">
      <c r="A147" s="5"/>
      <c r="B147" s="5"/>
      <c r="C147" s="5"/>
      <c r="D147" s="5"/>
      <c r="E147" s="5"/>
      <c r="F147" s="5"/>
    </row>
    <row r="148" ht="15.75" customHeight="1">
      <c r="A148" s="5"/>
      <c r="B148" s="5"/>
      <c r="C148" s="5"/>
      <c r="D148" s="5"/>
      <c r="E148" s="5"/>
      <c r="F148" s="5"/>
    </row>
    <row r="149" ht="15.75" customHeight="1">
      <c r="A149" s="5"/>
      <c r="B149" s="5"/>
      <c r="C149" s="5"/>
      <c r="D149" s="5"/>
      <c r="E149" s="5"/>
      <c r="F149" s="5"/>
    </row>
    <row r="150" ht="15.75" customHeight="1">
      <c r="A150" s="5"/>
      <c r="B150" s="5"/>
      <c r="C150" s="5"/>
      <c r="D150" s="5"/>
      <c r="E150" s="5"/>
      <c r="F150" s="5"/>
    </row>
    <row r="151" ht="15.75" customHeight="1">
      <c r="A151" s="5"/>
      <c r="B151" s="5"/>
      <c r="C151" s="5"/>
      <c r="D151" s="5"/>
      <c r="E151" s="5"/>
      <c r="F151" s="5"/>
    </row>
    <row r="152" ht="15.75" customHeight="1">
      <c r="A152" s="5"/>
      <c r="B152" s="5"/>
      <c r="C152" s="5"/>
      <c r="D152" s="5"/>
      <c r="E152" s="5"/>
      <c r="F152" s="5"/>
    </row>
    <row r="153" ht="15.75" customHeight="1">
      <c r="A153" s="5"/>
      <c r="B153" s="5"/>
      <c r="C153" s="5"/>
      <c r="D153" s="5"/>
      <c r="E153" s="5"/>
      <c r="F153" s="5"/>
    </row>
    <row r="154" ht="15.75" customHeight="1">
      <c r="A154" s="5"/>
      <c r="B154" s="5"/>
      <c r="C154" s="5"/>
      <c r="D154" s="5"/>
      <c r="E154" s="5"/>
      <c r="F154" s="5"/>
    </row>
    <row r="155" ht="15.75" customHeight="1">
      <c r="A155" s="5"/>
      <c r="B155" s="5"/>
      <c r="C155" s="5"/>
      <c r="D155" s="5"/>
      <c r="E155" s="5"/>
      <c r="F155" s="5"/>
    </row>
    <row r="156" ht="15.75" customHeight="1">
      <c r="A156" s="5"/>
      <c r="B156" s="5"/>
      <c r="C156" s="5"/>
      <c r="D156" s="5"/>
      <c r="E156" s="5"/>
      <c r="F156" s="5"/>
    </row>
    <row r="157" ht="15.75" customHeight="1">
      <c r="A157" s="5"/>
      <c r="B157" s="5"/>
      <c r="C157" s="5"/>
      <c r="D157" s="5"/>
      <c r="E157" s="5"/>
      <c r="F157" s="5"/>
    </row>
    <row r="158" ht="15.75" customHeight="1">
      <c r="A158" s="5"/>
      <c r="B158" s="5"/>
      <c r="C158" s="5"/>
      <c r="D158" s="5"/>
      <c r="E158" s="5"/>
      <c r="F158" s="5"/>
    </row>
    <row r="159" ht="15.75" customHeight="1">
      <c r="A159" s="5"/>
      <c r="B159" s="5"/>
      <c r="C159" s="5"/>
      <c r="D159" s="5"/>
      <c r="E159" s="5"/>
      <c r="F159" s="5"/>
    </row>
    <row r="160" ht="15.75" customHeight="1">
      <c r="A160" s="5"/>
      <c r="B160" s="5"/>
      <c r="C160" s="5"/>
      <c r="D160" s="5"/>
      <c r="E160" s="5"/>
      <c r="F160" s="5"/>
    </row>
    <row r="161" ht="15.75" customHeight="1">
      <c r="A161" s="5"/>
      <c r="B161" s="5"/>
      <c r="C161" s="5"/>
      <c r="D161" s="5"/>
      <c r="E161" s="5"/>
      <c r="F161" s="5"/>
    </row>
    <row r="162" ht="15.75" customHeight="1">
      <c r="A162" s="5"/>
      <c r="B162" s="5"/>
      <c r="C162" s="5"/>
      <c r="D162" s="5"/>
      <c r="E162" s="5"/>
      <c r="F162" s="5"/>
    </row>
    <row r="163" ht="15.75" customHeight="1">
      <c r="A163" s="5"/>
      <c r="B163" s="5"/>
      <c r="C163" s="5"/>
      <c r="D163" s="5"/>
      <c r="E163" s="5"/>
      <c r="F163" s="5"/>
    </row>
    <row r="164" ht="15.75" customHeight="1">
      <c r="A164" s="5"/>
      <c r="B164" s="5"/>
      <c r="C164" s="5"/>
      <c r="D164" s="5"/>
      <c r="E164" s="5"/>
      <c r="F164" s="5"/>
    </row>
    <row r="165" ht="15.75" customHeight="1">
      <c r="A165" s="5"/>
      <c r="B165" s="5"/>
      <c r="C165" s="5"/>
      <c r="D165" s="5"/>
      <c r="E165" s="5"/>
      <c r="F165" s="5"/>
    </row>
    <row r="166" ht="15.75" customHeight="1">
      <c r="A166" s="5"/>
      <c r="B166" s="5"/>
      <c r="C166" s="5"/>
      <c r="D166" s="5"/>
      <c r="E166" s="5"/>
      <c r="F166" s="5"/>
    </row>
    <row r="167" ht="15.75" customHeight="1">
      <c r="A167" s="5"/>
      <c r="B167" s="5"/>
      <c r="C167" s="5"/>
      <c r="D167" s="5"/>
      <c r="E167" s="5"/>
      <c r="F167" s="5"/>
    </row>
    <row r="168" ht="15.75" customHeight="1">
      <c r="A168" s="5"/>
      <c r="B168" s="5"/>
      <c r="C168" s="5"/>
      <c r="D168" s="5"/>
      <c r="E168" s="5"/>
      <c r="F168" s="5"/>
    </row>
    <row r="169" ht="15.75" customHeight="1">
      <c r="A169" s="5"/>
      <c r="B169" s="5"/>
      <c r="C169" s="5"/>
      <c r="D169" s="5"/>
      <c r="E169" s="5"/>
      <c r="F169" s="5"/>
    </row>
    <row r="170" ht="15.75" customHeight="1">
      <c r="A170" s="5"/>
      <c r="B170" s="5"/>
      <c r="C170" s="5"/>
      <c r="D170" s="5"/>
      <c r="E170" s="5"/>
      <c r="F170" s="5"/>
    </row>
    <row r="171" ht="15.75" customHeight="1">
      <c r="A171" s="5"/>
      <c r="B171" s="5"/>
      <c r="C171" s="5"/>
      <c r="D171" s="5"/>
      <c r="E171" s="5"/>
      <c r="F171" s="5"/>
    </row>
    <row r="172" ht="15.75" customHeight="1">
      <c r="A172" s="5"/>
      <c r="B172" s="5"/>
      <c r="C172" s="5"/>
      <c r="D172" s="5"/>
      <c r="E172" s="5"/>
      <c r="F172" s="5"/>
    </row>
    <row r="173" ht="15.75" customHeight="1">
      <c r="A173" s="5"/>
      <c r="B173" s="5"/>
      <c r="C173" s="5"/>
      <c r="D173" s="5"/>
      <c r="E173" s="5"/>
      <c r="F173" s="5"/>
    </row>
    <row r="174" ht="15.75" customHeight="1">
      <c r="A174" s="5"/>
      <c r="B174" s="5"/>
      <c r="C174" s="5"/>
      <c r="D174" s="5"/>
      <c r="E174" s="5"/>
      <c r="F174" s="5"/>
    </row>
    <row r="175" ht="15.75" customHeight="1">
      <c r="A175" s="5"/>
      <c r="B175" s="5"/>
      <c r="C175" s="5"/>
      <c r="D175" s="5"/>
      <c r="E175" s="5"/>
      <c r="F175" s="5"/>
    </row>
    <row r="176" ht="15.75" customHeight="1">
      <c r="A176" s="5"/>
      <c r="B176" s="5"/>
      <c r="C176" s="5"/>
      <c r="D176" s="5"/>
      <c r="E176" s="5"/>
      <c r="F176" s="5"/>
    </row>
    <row r="177" ht="15.75" customHeight="1">
      <c r="A177" s="5"/>
      <c r="B177" s="5"/>
      <c r="C177" s="5"/>
      <c r="D177" s="5"/>
      <c r="E177" s="5"/>
      <c r="F177" s="5"/>
    </row>
    <row r="178" ht="15.75" customHeight="1">
      <c r="A178" s="5"/>
      <c r="B178" s="5"/>
      <c r="C178" s="5"/>
      <c r="D178" s="5"/>
      <c r="E178" s="5"/>
      <c r="F178" s="5"/>
    </row>
    <row r="179" ht="15.75" customHeight="1">
      <c r="A179" s="5"/>
      <c r="B179" s="5"/>
      <c r="C179" s="5"/>
      <c r="D179" s="5"/>
      <c r="E179" s="5"/>
      <c r="F179" s="5"/>
    </row>
    <row r="180" ht="15.75" customHeight="1">
      <c r="A180" s="5"/>
      <c r="B180" s="5"/>
      <c r="C180" s="5"/>
      <c r="D180" s="5"/>
      <c r="E180" s="5"/>
      <c r="F180" s="5"/>
    </row>
    <row r="181" ht="15.75" customHeight="1">
      <c r="A181" s="5"/>
      <c r="B181" s="5"/>
      <c r="C181" s="5"/>
      <c r="D181" s="5"/>
      <c r="E181" s="5"/>
      <c r="F181" s="5"/>
    </row>
    <row r="182" ht="15.75" customHeight="1">
      <c r="A182" s="5"/>
      <c r="B182" s="5"/>
      <c r="C182" s="5"/>
      <c r="D182" s="5"/>
      <c r="E182" s="5"/>
      <c r="F182" s="5"/>
    </row>
    <row r="183" ht="15.75" customHeight="1">
      <c r="A183" s="5"/>
      <c r="B183" s="5"/>
      <c r="C183" s="5"/>
      <c r="D183" s="5"/>
      <c r="E183" s="5"/>
      <c r="F183" s="5"/>
    </row>
    <row r="184" ht="15.75" customHeight="1">
      <c r="A184" s="5"/>
      <c r="B184" s="5"/>
      <c r="C184" s="5"/>
      <c r="D184" s="5"/>
      <c r="E184" s="5"/>
      <c r="F184" s="5"/>
    </row>
    <row r="185" ht="15.75" customHeight="1">
      <c r="A185" s="5"/>
      <c r="B185" s="5"/>
      <c r="C185" s="5"/>
      <c r="D185" s="5"/>
      <c r="E185" s="5"/>
      <c r="F185" s="5"/>
    </row>
    <row r="186" ht="15.75" customHeight="1">
      <c r="A186" s="5"/>
      <c r="B186" s="5"/>
      <c r="C186" s="5"/>
      <c r="D186" s="5"/>
      <c r="E186" s="5"/>
      <c r="F186" s="5"/>
    </row>
    <row r="187" ht="15.75" customHeight="1">
      <c r="A187" s="5"/>
      <c r="B187" s="5"/>
      <c r="C187" s="5"/>
      <c r="D187" s="5"/>
      <c r="E187" s="5"/>
      <c r="F187" s="5"/>
    </row>
    <row r="188" ht="15.75" customHeight="1">
      <c r="A188" s="5"/>
      <c r="B188" s="5"/>
      <c r="C188" s="5"/>
      <c r="D188" s="5"/>
      <c r="E188" s="5"/>
      <c r="F188" s="5"/>
    </row>
    <row r="189" ht="15.75" customHeight="1">
      <c r="A189" s="5"/>
      <c r="B189" s="5"/>
      <c r="C189" s="5"/>
      <c r="D189" s="5"/>
      <c r="E189" s="5"/>
      <c r="F189" s="5"/>
    </row>
    <row r="190" ht="15.75" customHeight="1">
      <c r="A190" s="5"/>
      <c r="B190" s="5"/>
      <c r="C190" s="5"/>
      <c r="D190" s="5"/>
      <c r="E190" s="5"/>
      <c r="F190" s="5"/>
    </row>
    <row r="191" ht="15.75" customHeight="1">
      <c r="A191" s="5"/>
      <c r="B191" s="5"/>
      <c r="C191" s="5"/>
      <c r="D191" s="5"/>
      <c r="E191" s="5"/>
      <c r="F191" s="5"/>
    </row>
    <row r="192" ht="15.75" customHeight="1">
      <c r="A192" s="5"/>
      <c r="B192" s="5"/>
      <c r="C192" s="5"/>
      <c r="D192" s="5"/>
      <c r="E192" s="5"/>
      <c r="F192" s="5"/>
    </row>
    <row r="193" ht="15.75" customHeight="1">
      <c r="A193" s="5"/>
      <c r="B193" s="5"/>
      <c r="C193" s="5"/>
      <c r="D193" s="5"/>
      <c r="E193" s="5"/>
      <c r="F193" s="5"/>
    </row>
    <row r="194" ht="15.75" customHeight="1">
      <c r="A194" s="5"/>
      <c r="B194" s="5"/>
      <c r="C194" s="5"/>
      <c r="D194" s="5"/>
      <c r="E194" s="5"/>
      <c r="F194" s="5"/>
    </row>
    <row r="195" ht="15.75" customHeight="1">
      <c r="A195" s="5"/>
      <c r="B195" s="5"/>
      <c r="C195" s="5"/>
      <c r="D195" s="5"/>
      <c r="E195" s="5"/>
      <c r="F195" s="5"/>
    </row>
    <row r="196" ht="15.75" customHeight="1">
      <c r="A196" s="5"/>
      <c r="B196" s="5"/>
      <c r="C196" s="5"/>
      <c r="D196" s="5"/>
      <c r="E196" s="5"/>
      <c r="F196" s="5"/>
    </row>
    <row r="197" ht="15.75" customHeight="1">
      <c r="A197" s="5"/>
      <c r="B197" s="5"/>
      <c r="C197" s="5"/>
      <c r="D197" s="5"/>
      <c r="E197" s="5"/>
      <c r="F197" s="5"/>
    </row>
    <row r="198" ht="15.75" customHeight="1">
      <c r="A198" s="5"/>
      <c r="B198" s="5"/>
      <c r="C198" s="5"/>
      <c r="D198" s="5"/>
      <c r="E198" s="5"/>
      <c r="F198" s="5"/>
    </row>
    <row r="199" ht="15.75" customHeight="1">
      <c r="A199" s="5"/>
      <c r="B199" s="5"/>
      <c r="C199" s="5"/>
      <c r="D199" s="5"/>
      <c r="E199" s="5"/>
      <c r="F199" s="5"/>
    </row>
    <row r="200" ht="15.75" customHeight="1">
      <c r="A200" s="5"/>
      <c r="B200" s="5"/>
      <c r="C200" s="5"/>
      <c r="D200" s="5"/>
      <c r="E200" s="5"/>
      <c r="F200" s="5"/>
    </row>
    <row r="201" ht="15.75" customHeight="1">
      <c r="A201" s="5"/>
      <c r="B201" s="5"/>
      <c r="C201" s="5"/>
      <c r="D201" s="5"/>
      <c r="E201" s="5"/>
      <c r="F201" s="5"/>
    </row>
    <row r="202" ht="15.75" customHeight="1">
      <c r="A202" s="5"/>
      <c r="B202" s="5"/>
      <c r="C202" s="5"/>
      <c r="D202" s="5"/>
      <c r="E202" s="5"/>
      <c r="F202" s="5"/>
    </row>
    <row r="203" ht="15.75" customHeight="1">
      <c r="A203" s="5"/>
      <c r="B203" s="5"/>
      <c r="C203" s="5"/>
      <c r="D203" s="5"/>
      <c r="E203" s="5"/>
      <c r="F203" s="5"/>
    </row>
    <row r="204" ht="15.75" customHeight="1">
      <c r="A204" s="5"/>
      <c r="B204" s="5"/>
      <c r="C204" s="5"/>
      <c r="D204" s="5"/>
      <c r="E204" s="5"/>
      <c r="F204" s="5"/>
    </row>
    <row r="205" ht="15.75" customHeight="1">
      <c r="A205" s="5"/>
      <c r="B205" s="5"/>
      <c r="C205" s="5"/>
      <c r="D205" s="5"/>
      <c r="E205" s="5"/>
      <c r="F205" s="5"/>
    </row>
    <row r="206" ht="15.75" customHeight="1">
      <c r="A206" s="5"/>
      <c r="B206" s="5"/>
      <c r="C206" s="5"/>
      <c r="D206" s="5"/>
      <c r="E206" s="5"/>
      <c r="F206" s="5"/>
    </row>
    <row r="207" ht="15.75" customHeight="1">
      <c r="A207" s="5"/>
      <c r="B207" s="5"/>
      <c r="C207" s="5"/>
      <c r="D207" s="5"/>
      <c r="E207" s="5"/>
      <c r="F207" s="5"/>
    </row>
    <row r="208" ht="15.75" customHeight="1">
      <c r="A208" s="5"/>
      <c r="B208" s="5"/>
      <c r="C208" s="5"/>
      <c r="D208" s="5"/>
      <c r="E208" s="5"/>
      <c r="F208" s="5"/>
    </row>
    <row r="209" ht="15.75" customHeight="1">
      <c r="A209" s="5"/>
      <c r="B209" s="5"/>
      <c r="C209" s="5"/>
      <c r="D209" s="5"/>
      <c r="E209" s="5"/>
      <c r="F209" s="5"/>
    </row>
    <row r="210" ht="15.75" customHeight="1">
      <c r="A210" s="5"/>
      <c r="B210" s="5"/>
      <c r="C210" s="5"/>
      <c r="D210" s="5"/>
      <c r="E210" s="5"/>
      <c r="F210" s="5"/>
    </row>
    <row r="211" ht="15.75" customHeight="1">
      <c r="A211" s="5"/>
      <c r="B211" s="5"/>
      <c r="C211" s="5"/>
      <c r="D211" s="5"/>
      <c r="E211" s="5"/>
      <c r="F211" s="5"/>
    </row>
    <row r="212" ht="15.75" customHeight="1">
      <c r="A212" s="5"/>
      <c r="B212" s="5"/>
      <c r="C212" s="5"/>
      <c r="D212" s="5"/>
      <c r="E212" s="5"/>
      <c r="F212" s="5"/>
    </row>
    <row r="213" ht="15.75" customHeight="1">
      <c r="A213" s="5"/>
      <c r="B213" s="5"/>
      <c r="C213" s="5"/>
      <c r="D213" s="5"/>
      <c r="E213" s="5"/>
      <c r="F213" s="5"/>
    </row>
    <row r="214" ht="15.75" customHeight="1">
      <c r="A214" s="5"/>
      <c r="B214" s="5"/>
      <c r="C214" s="5"/>
      <c r="D214" s="5"/>
      <c r="E214" s="5"/>
      <c r="F214" s="5"/>
    </row>
    <row r="215" ht="15.75" customHeight="1">
      <c r="A215" s="5"/>
      <c r="B215" s="5"/>
      <c r="C215" s="5"/>
      <c r="D215" s="5"/>
      <c r="E215" s="5"/>
      <c r="F215" s="5"/>
    </row>
    <row r="216" ht="15.75" customHeight="1">
      <c r="A216" s="5"/>
      <c r="B216" s="5"/>
      <c r="C216" s="5"/>
      <c r="D216" s="5"/>
      <c r="E216" s="5"/>
      <c r="F216" s="5"/>
    </row>
    <row r="217" ht="15.75" customHeight="1">
      <c r="A217" s="5"/>
      <c r="B217" s="5"/>
      <c r="C217" s="5"/>
      <c r="D217" s="5"/>
      <c r="E217" s="5"/>
      <c r="F217" s="5"/>
    </row>
    <row r="218" ht="15.75" customHeight="1">
      <c r="A218" s="5"/>
      <c r="B218" s="5"/>
      <c r="C218" s="5"/>
      <c r="D218" s="5"/>
      <c r="E218" s="5"/>
      <c r="F218" s="5"/>
    </row>
    <row r="219" ht="15.75" customHeight="1">
      <c r="A219" s="5"/>
      <c r="B219" s="5"/>
      <c r="C219" s="5"/>
      <c r="D219" s="5"/>
      <c r="E219" s="5"/>
      <c r="F219" s="5"/>
    </row>
    <row r="220" ht="15.75" customHeight="1">
      <c r="A220" s="5"/>
      <c r="B220" s="5"/>
      <c r="C220" s="5"/>
      <c r="D220" s="5"/>
      <c r="E220" s="5"/>
      <c r="F220" s="5"/>
    </row>
    <row r="221" ht="15.75" customHeight="1">
      <c r="A221" s="5"/>
      <c r="B221" s="5"/>
      <c r="C221" s="5"/>
      <c r="D221" s="5"/>
      <c r="E221" s="5"/>
      <c r="F221" s="5"/>
    </row>
    <row r="222" ht="15.75" customHeight="1">
      <c r="A222" s="5"/>
      <c r="B222" s="5"/>
      <c r="C222" s="5"/>
      <c r="D222" s="5"/>
      <c r="E222" s="5"/>
      <c r="F222" s="5"/>
    </row>
    <row r="223" ht="15.75" customHeight="1">
      <c r="A223" s="5"/>
      <c r="B223" s="5"/>
      <c r="C223" s="5"/>
      <c r="D223" s="5"/>
      <c r="E223" s="5"/>
      <c r="F223" s="5"/>
    </row>
    <row r="224" ht="15.75" customHeight="1">
      <c r="A224" s="5"/>
      <c r="B224" s="5"/>
      <c r="C224" s="5"/>
      <c r="D224" s="5"/>
      <c r="E224" s="5"/>
      <c r="F224" s="5"/>
    </row>
    <row r="225" ht="15.75" customHeight="1">
      <c r="A225" s="5"/>
      <c r="B225" s="5"/>
      <c r="C225" s="5"/>
      <c r="D225" s="5"/>
      <c r="E225" s="5"/>
      <c r="F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</sheetData>
  <mergeCells count="10">
    <mergeCell ref="B29:E29"/>
    <mergeCell ref="B34:E34"/>
    <mergeCell ref="B41:E41"/>
    <mergeCell ref="B1:E1"/>
    <mergeCell ref="B2:E2"/>
    <mergeCell ref="B3:E3"/>
    <mergeCell ref="B5:E5"/>
    <mergeCell ref="B11:E11"/>
    <mergeCell ref="B17:E17"/>
    <mergeCell ref="B23:E23"/>
  </mergeCells>
  <printOptions/>
  <pageMargins bottom="0.75" footer="0.0" header="0.0" left="0.7" right="0.7" top="0.75"/>
  <pageSetup paperSize="9" orientation="portrait"/>
  <drawing r:id="rId1"/>
</worksheet>
</file>