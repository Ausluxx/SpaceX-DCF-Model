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B004BD4B-3197-4C45-86D9-112320C849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Assumptions" sheetId="2" r:id="rId2"/>
    <sheet name="Input" sheetId="3" r:id="rId3"/>
    <sheet name="IS Forecast" sheetId="4" r:id="rId4"/>
    <sheet name="BS &amp; CF Forecast" sheetId="5" r:id="rId5"/>
    <sheet name="DCF" sheetId="6" r:id="rId6"/>
    <sheet name="Dashboard" sheetId="7" r:id="rId7"/>
    <sheet name="One Page Analysi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8" l="1"/>
  <c r="C38" i="8"/>
  <c r="C37" i="8"/>
  <c r="C36" i="8"/>
  <c r="B34" i="8"/>
  <c r="B29" i="8"/>
  <c r="B23" i="8"/>
  <c r="G36" i="7"/>
  <c r="C36" i="7"/>
  <c r="G35" i="7"/>
  <c r="C35" i="7"/>
  <c r="G34" i="7"/>
  <c r="C34" i="7"/>
  <c r="G33" i="7"/>
  <c r="C33" i="7"/>
  <c r="G32" i="7"/>
  <c r="C32" i="7"/>
  <c r="C31" i="7"/>
  <c r="G30" i="7"/>
  <c r="A5" i="7"/>
  <c r="C4" i="7"/>
  <c r="A2" i="7"/>
  <c r="F56" i="6"/>
  <c r="F54" i="6"/>
  <c r="F52" i="6"/>
  <c r="F51" i="6"/>
  <c r="J28" i="6"/>
  <c r="I28" i="6"/>
  <c r="H28" i="6"/>
  <c r="G28" i="6"/>
  <c r="F28" i="6"/>
  <c r="J19" i="6"/>
  <c r="I19" i="6"/>
  <c r="H19" i="6"/>
  <c r="G19" i="6"/>
  <c r="F19" i="6"/>
  <c r="J42" i="5"/>
  <c r="I42" i="5"/>
  <c r="H42" i="5"/>
  <c r="G42" i="5"/>
  <c r="J37" i="5"/>
  <c r="I37" i="5"/>
  <c r="H37" i="5"/>
  <c r="G37" i="5"/>
  <c r="F37" i="5"/>
  <c r="E37" i="5"/>
  <c r="E38" i="5" s="1"/>
  <c r="J35" i="5"/>
  <c r="I35" i="5"/>
  <c r="H35" i="5"/>
  <c r="G35" i="5"/>
  <c r="F35" i="5"/>
  <c r="E35" i="5"/>
  <c r="E36" i="5" s="1"/>
  <c r="J33" i="5"/>
  <c r="I33" i="5"/>
  <c r="F21" i="5"/>
  <c r="F6" i="5"/>
  <c r="E46" i="4"/>
  <c r="D46" i="4"/>
  <c r="C46" i="4"/>
  <c r="J45" i="4"/>
  <c r="I45" i="4"/>
  <c r="H45" i="4"/>
  <c r="G45" i="4"/>
  <c r="F45" i="4"/>
  <c r="E41" i="4"/>
  <c r="E42" i="4" s="1"/>
  <c r="D41" i="4"/>
  <c r="D42" i="4" s="1"/>
  <c r="C41" i="4"/>
  <c r="C42" i="4" s="1"/>
  <c r="E32" i="4"/>
  <c r="E33" i="4" s="1"/>
  <c r="D32" i="4"/>
  <c r="D33" i="4" s="1"/>
  <c r="C32" i="4"/>
  <c r="C33" i="4" s="1"/>
  <c r="E26" i="4"/>
  <c r="D26" i="4"/>
  <c r="C26" i="4"/>
  <c r="E24" i="4"/>
  <c r="D24" i="4"/>
  <c r="C24" i="4"/>
  <c r="E21" i="4"/>
  <c r="D21" i="4"/>
  <c r="C21" i="4"/>
  <c r="E18" i="4"/>
  <c r="D18" i="4"/>
  <c r="C18" i="4"/>
  <c r="E12" i="4"/>
  <c r="D12" i="4"/>
  <c r="C12" i="4"/>
  <c r="B23" i="7" s="1"/>
  <c r="E10" i="4"/>
  <c r="D10" i="4"/>
  <c r="C10" i="4"/>
  <c r="J9" i="4"/>
  <c r="I9" i="4"/>
  <c r="H9" i="4"/>
  <c r="G9" i="4"/>
  <c r="F9" i="4"/>
  <c r="E8" i="4"/>
  <c r="D8" i="4"/>
  <c r="C8" i="4"/>
  <c r="J7" i="4"/>
  <c r="I7" i="4"/>
  <c r="H7" i="4"/>
  <c r="G7" i="4"/>
  <c r="F7" i="4"/>
  <c r="E6" i="4"/>
  <c r="D6" i="4"/>
  <c r="C6" i="4"/>
  <c r="J5" i="4"/>
  <c r="I5" i="4"/>
  <c r="H5" i="4"/>
  <c r="G5" i="4"/>
  <c r="F5" i="4"/>
  <c r="E65" i="2"/>
  <c r="D65" i="2"/>
  <c r="D66" i="2" s="1"/>
  <c r="C65" i="2"/>
  <c r="C66" i="2" s="1"/>
  <c r="B65" i="2"/>
  <c r="B66" i="2" s="1"/>
  <c r="E58" i="2"/>
  <c r="E57" i="2"/>
  <c r="E53" i="2"/>
  <c r="F8" i="6" s="1"/>
  <c r="D52" i="2"/>
  <c r="D54" i="2" s="1"/>
  <c r="D55" i="2" s="1"/>
  <c r="C52" i="2"/>
  <c r="B52" i="2"/>
  <c r="B54" i="2" s="1"/>
  <c r="B55" i="2" s="1"/>
  <c r="E51" i="2"/>
  <c r="E50" i="2"/>
  <c r="E49" i="2"/>
  <c r="E48" i="2"/>
  <c r="E47" i="2"/>
  <c r="E46" i="2"/>
  <c r="E44" i="2"/>
  <c r="F7" i="6" s="1"/>
  <c r="E43" i="2"/>
  <c r="E42" i="2"/>
  <c r="E40" i="2"/>
  <c r="E39" i="2"/>
  <c r="E38" i="2"/>
  <c r="E37" i="2"/>
  <c r="E36" i="2"/>
  <c r="E35" i="2"/>
  <c r="E34" i="2"/>
  <c r="E33" i="2"/>
  <c r="E32" i="2"/>
  <c r="E30" i="2"/>
  <c r="E29" i="2"/>
  <c r="E28" i="2"/>
  <c r="E26" i="2"/>
  <c r="E25" i="2"/>
  <c r="E24" i="2"/>
  <c r="E23" i="2"/>
  <c r="E22" i="2"/>
  <c r="E21" i="2"/>
  <c r="E19" i="2"/>
  <c r="E18" i="2"/>
  <c r="E17" i="2"/>
  <c r="E16" i="2"/>
  <c r="E15" i="2"/>
  <c r="E14" i="2"/>
  <c r="E12" i="2"/>
  <c r="E11" i="2"/>
  <c r="E10" i="2"/>
  <c r="E9" i="2"/>
  <c r="E8" i="2"/>
  <c r="E7" i="2"/>
  <c r="F22" i="5" l="1"/>
  <c r="E27" i="4"/>
  <c r="D24" i="7"/>
  <c r="C24" i="7"/>
  <c r="D27" i="4"/>
  <c r="B24" i="7"/>
  <c r="C27" i="4"/>
  <c r="D23" i="7"/>
  <c r="E13" i="4"/>
  <c r="C23" i="7"/>
  <c r="D13" i="4"/>
  <c r="D27" i="7"/>
  <c r="E23" i="4"/>
  <c r="F10" i="4"/>
  <c r="D26" i="7"/>
  <c r="F8" i="4"/>
  <c r="E20" i="4"/>
  <c r="D25" i="7"/>
  <c r="F6" i="4"/>
  <c r="E17" i="4"/>
  <c r="E66" i="2"/>
  <c r="F28" i="5"/>
  <c r="G70" i="6"/>
  <c r="F70" i="6"/>
  <c r="C70" i="6"/>
  <c r="D70" i="6"/>
  <c r="E70" i="6"/>
  <c r="C62" i="6"/>
  <c r="D62" i="6"/>
  <c r="E62" i="6"/>
  <c r="F62" i="6"/>
  <c r="G62" i="6"/>
  <c r="C54" i="2"/>
  <c r="E52" i="2"/>
  <c r="I29" i="5"/>
  <c r="H29" i="5"/>
  <c r="J29" i="5"/>
  <c r="G29" i="5"/>
  <c r="F29" i="5"/>
  <c r="F42" i="5"/>
  <c r="E42" i="5"/>
  <c r="E43" i="5" s="1"/>
  <c r="J39" i="4"/>
  <c r="I39" i="4"/>
  <c r="H39" i="4"/>
  <c r="G39" i="4"/>
  <c r="F39" i="4"/>
  <c r="F40" i="5"/>
  <c r="J40" i="5"/>
  <c r="I40" i="5"/>
  <c r="H40" i="5"/>
  <c r="G40" i="5"/>
  <c r="E40" i="5"/>
  <c r="E41" i="5" s="1"/>
  <c r="H33" i="5"/>
  <c r="G33" i="5"/>
  <c r="F33" i="5"/>
  <c r="E33" i="5"/>
  <c r="E34" i="5" s="1"/>
  <c r="E39" i="5" s="1"/>
  <c r="H17" i="5"/>
  <c r="I17" i="5"/>
  <c r="J17" i="5"/>
  <c r="F17" i="5"/>
  <c r="G17" i="5"/>
  <c r="J11" i="5"/>
  <c r="I11" i="5"/>
  <c r="H11" i="5"/>
  <c r="G11" i="5"/>
  <c r="F11" i="5"/>
  <c r="F9" i="5"/>
  <c r="I9" i="5"/>
  <c r="J9" i="5"/>
  <c r="H9" i="5"/>
  <c r="G9" i="5"/>
  <c r="F7" i="5"/>
  <c r="G7" i="5"/>
  <c r="H7" i="5"/>
  <c r="I7" i="5"/>
  <c r="J7" i="5"/>
  <c r="F23" i="4"/>
  <c r="G23" i="4"/>
  <c r="H23" i="4"/>
  <c r="I23" i="4"/>
  <c r="J23" i="4"/>
  <c r="H20" i="4"/>
  <c r="G20" i="4"/>
  <c r="F20" i="4"/>
  <c r="I20" i="4"/>
  <c r="J20" i="4"/>
  <c r="J17" i="4"/>
  <c r="I17" i="4"/>
  <c r="H17" i="4"/>
  <c r="G17" i="4"/>
  <c r="F17" i="4"/>
  <c r="G10" i="4" l="1"/>
  <c r="F24" i="4"/>
  <c r="F12" i="5"/>
  <c r="E27" i="7"/>
  <c r="G8" i="4"/>
  <c r="F21" i="4"/>
  <c r="F10" i="5"/>
  <c r="E26" i="7"/>
  <c r="G6" i="4"/>
  <c r="F12" i="4"/>
  <c r="F18" i="4"/>
  <c r="F8" i="5"/>
  <c r="F13" i="5" s="1"/>
  <c r="F14" i="5"/>
  <c r="F15" i="5" s="1"/>
  <c r="E25" i="7"/>
  <c r="F50" i="6"/>
  <c r="G31" i="7"/>
  <c r="E54" i="2"/>
  <c r="F6" i="6" s="1"/>
  <c r="C55" i="2"/>
  <c r="E55" i="2" s="1"/>
  <c r="E44" i="5"/>
  <c r="E45" i="5" s="1"/>
  <c r="F56" i="5"/>
  <c r="F57" i="5" s="1"/>
  <c r="F23" i="5"/>
  <c r="H10" i="4" l="1"/>
  <c r="G24" i="4"/>
  <c r="G12" i="5"/>
  <c r="F27" i="7"/>
  <c r="H8" i="4"/>
  <c r="G21" i="4"/>
  <c r="G10" i="5"/>
  <c r="F26" i="7"/>
  <c r="H6" i="4"/>
  <c r="G12" i="4"/>
  <c r="G14" i="5" s="1"/>
  <c r="G18" i="4"/>
  <c r="G26" i="4" s="1"/>
  <c r="G8" i="5"/>
  <c r="G13" i="5" s="1"/>
  <c r="F25" i="7"/>
  <c r="F13" i="4"/>
  <c r="F18" i="5"/>
  <c r="F41" i="5"/>
  <c r="F38" i="5"/>
  <c r="F43" i="5"/>
  <c r="F36" i="5"/>
  <c r="E23" i="7"/>
  <c r="C25" i="8"/>
  <c r="F34" i="5"/>
  <c r="F39" i="5" s="1"/>
  <c r="F16" i="5"/>
  <c r="F54" i="5"/>
  <c r="F55" i="5" s="1"/>
  <c r="F15" i="6"/>
  <c r="F30" i="4"/>
  <c r="F16" i="6" s="1"/>
  <c r="F50" i="5"/>
  <c r="F9" i="6"/>
  <c r="C30" i="7"/>
  <c r="G21" i="5"/>
  <c r="F24" i="5"/>
  <c r="F25" i="5" s="1"/>
  <c r="F36" i="4" s="1"/>
  <c r="F67" i="5"/>
  <c r="F26" i="4"/>
  <c r="I10" i="4" l="1"/>
  <c r="H24" i="4"/>
  <c r="H12" i="5"/>
  <c r="G27" i="7"/>
  <c r="I8" i="4"/>
  <c r="H21" i="4"/>
  <c r="H10" i="5"/>
  <c r="G26" i="7"/>
  <c r="I6" i="4"/>
  <c r="H12" i="4"/>
  <c r="H14" i="5" s="1"/>
  <c r="H18" i="4"/>
  <c r="H8" i="5"/>
  <c r="G25" i="7"/>
  <c r="G13" i="4"/>
  <c r="G34" i="5"/>
  <c r="G36" i="5"/>
  <c r="G18" i="5"/>
  <c r="G41" i="5"/>
  <c r="G38" i="5"/>
  <c r="F23" i="7"/>
  <c r="G43" i="5"/>
  <c r="G27" i="4"/>
  <c r="G12" i="6"/>
  <c r="F24" i="7"/>
  <c r="G54" i="5"/>
  <c r="G55" i="5" s="1"/>
  <c r="G15" i="6"/>
  <c r="F51" i="5"/>
  <c r="F71" i="5"/>
  <c r="F31" i="4"/>
  <c r="F14" i="6" s="1"/>
  <c r="F63" i="5"/>
  <c r="G15" i="5"/>
  <c r="G16" i="5" s="1"/>
  <c r="F64" i="5"/>
  <c r="F22" i="6"/>
  <c r="F17" i="6"/>
  <c r="F29" i="6"/>
  <c r="G29" i="6"/>
  <c r="H29" i="6"/>
  <c r="I29" i="6"/>
  <c r="J29" i="6"/>
  <c r="B63" i="6"/>
  <c r="B64" i="6"/>
  <c r="B65" i="6"/>
  <c r="B66" i="6"/>
  <c r="B67" i="6"/>
  <c r="B71" i="6"/>
  <c r="B72" i="6"/>
  <c r="B73" i="6"/>
  <c r="B74" i="6"/>
  <c r="B75" i="6"/>
  <c r="G22" i="5"/>
  <c r="G56" i="5" s="1"/>
  <c r="G57" i="5" s="1"/>
  <c r="G23" i="5"/>
  <c r="G24" i="5" s="1"/>
  <c r="G25" i="5" s="1"/>
  <c r="G36" i="4" s="1"/>
  <c r="F32" i="4"/>
  <c r="C27" i="8"/>
  <c r="C26" i="8"/>
  <c r="E24" i="7"/>
  <c r="F12" i="6"/>
  <c r="F18" i="6" s="1"/>
  <c r="F20" i="6" s="1"/>
  <c r="F27" i="4"/>
  <c r="F44" i="5"/>
  <c r="J10" i="4" l="1"/>
  <c r="I24" i="4"/>
  <c r="I12" i="5"/>
  <c r="H27" i="7"/>
  <c r="J8" i="4"/>
  <c r="I21" i="4"/>
  <c r="I10" i="5"/>
  <c r="H26" i="7"/>
  <c r="J6" i="4"/>
  <c r="I12" i="4"/>
  <c r="I18" i="4"/>
  <c r="I26" i="4" s="1"/>
  <c r="I8" i="5"/>
  <c r="I14" i="5"/>
  <c r="H25" i="7"/>
  <c r="H13" i="4"/>
  <c r="H41" i="5"/>
  <c r="H44" i="5" s="1"/>
  <c r="H66" i="5" s="1"/>
  <c r="H18" i="5"/>
  <c r="G23" i="7"/>
  <c r="D25" i="8"/>
  <c r="H43" i="5"/>
  <c r="H34" i="5"/>
  <c r="H39" i="5" s="1"/>
  <c r="H36" i="5"/>
  <c r="H38" i="5"/>
  <c r="G51" i="5"/>
  <c r="G71" i="5"/>
  <c r="G31" i="4"/>
  <c r="G14" i="6" s="1"/>
  <c r="G22" i="6"/>
  <c r="G50" i="5"/>
  <c r="G30" i="4"/>
  <c r="G64" i="5"/>
  <c r="H15" i="5"/>
  <c r="H21" i="5"/>
  <c r="G67" i="5"/>
  <c r="F33" i="4"/>
  <c r="F13" i="6"/>
  <c r="F21" i="6" s="1"/>
  <c r="H26" i="4"/>
  <c r="H13" i="5"/>
  <c r="H16" i="5" s="1"/>
  <c r="G39" i="5"/>
  <c r="G44" i="5"/>
  <c r="G66" i="5" s="1"/>
  <c r="G68" i="5" s="1"/>
  <c r="F66" i="5"/>
  <c r="F68" i="5" s="1"/>
  <c r="F45" i="5"/>
  <c r="F46" i="5" s="1"/>
  <c r="F31" i="5" s="1"/>
  <c r="F30" i="5" s="1"/>
  <c r="F37" i="4" s="1"/>
  <c r="F38" i="4" s="1"/>
  <c r="J24" i="4" l="1"/>
  <c r="E38" i="8" s="1"/>
  <c r="J12" i="5"/>
  <c r="D38" i="8"/>
  <c r="I27" i="7"/>
  <c r="J21" i="4"/>
  <c r="E37" i="8" s="1"/>
  <c r="J10" i="5"/>
  <c r="I26" i="7"/>
  <c r="D37" i="8"/>
  <c r="J12" i="4"/>
  <c r="J18" i="4"/>
  <c r="J8" i="5"/>
  <c r="J13" i="5" s="1"/>
  <c r="J14" i="5"/>
  <c r="I25" i="7"/>
  <c r="D36" i="8"/>
  <c r="I13" i="4"/>
  <c r="I41" i="5"/>
  <c r="I36" i="5"/>
  <c r="I38" i="5"/>
  <c r="I18" i="5"/>
  <c r="I34" i="5"/>
  <c r="I39" i="5" s="1"/>
  <c r="I43" i="5"/>
  <c r="H23" i="7"/>
  <c r="I27" i="4"/>
  <c r="I12" i="6"/>
  <c r="H24" i="7"/>
  <c r="H71" i="5"/>
  <c r="H31" i="4"/>
  <c r="H14" i="6" s="1"/>
  <c r="H51" i="5"/>
  <c r="H63" i="5"/>
  <c r="H45" i="5"/>
  <c r="H46" i="5" s="1"/>
  <c r="G32" i="4"/>
  <c r="G16" i="6"/>
  <c r="G17" i="6" s="1"/>
  <c r="G18" i="6" s="1"/>
  <c r="G20" i="6" s="1"/>
  <c r="H64" i="5"/>
  <c r="I15" i="5"/>
  <c r="I16" i="5" s="1"/>
  <c r="H50" i="5"/>
  <c r="H30" i="4"/>
  <c r="H22" i="5"/>
  <c r="F40" i="4"/>
  <c r="F41" i="4"/>
  <c r="D27" i="8"/>
  <c r="D26" i="8"/>
  <c r="G24" i="7"/>
  <c r="H12" i="6"/>
  <c r="H27" i="4"/>
  <c r="H15" i="6"/>
  <c r="H54" i="5"/>
  <c r="H55" i="5" s="1"/>
  <c r="G45" i="5"/>
  <c r="G46" i="5" s="1"/>
  <c r="G63" i="5"/>
  <c r="F23" i="6"/>
  <c r="F24" i="6" s="1"/>
  <c r="F52" i="5"/>
  <c r="I13" i="5"/>
  <c r="J13" i="4" l="1"/>
  <c r="J18" i="5"/>
  <c r="J41" i="5"/>
  <c r="J44" i="5" s="1"/>
  <c r="J66" i="5" s="1"/>
  <c r="J38" i="5"/>
  <c r="J43" i="5"/>
  <c r="I23" i="7"/>
  <c r="D39" i="8"/>
  <c r="J34" i="5"/>
  <c r="J36" i="5"/>
  <c r="E25" i="8"/>
  <c r="J26" i="4"/>
  <c r="E36" i="8"/>
  <c r="J15" i="6"/>
  <c r="J54" i="5"/>
  <c r="J55" i="5" s="1"/>
  <c r="I71" i="5"/>
  <c r="I31" i="4"/>
  <c r="I14" i="6" s="1"/>
  <c r="I51" i="5"/>
  <c r="I63" i="5"/>
  <c r="H23" i="6"/>
  <c r="H52" i="5"/>
  <c r="G13" i="6"/>
  <c r="G21" i="6" s="1"/>
  <c r="G24" i="6" s="1"/>
  <c r="G33" i="4"/>
  <c r="I64" i="5"/>
  <c r="J15" i="5"/>
  <c r="J16" i="5" s="1"/>
  <c r="J64" i="5" s="1"/>
  <c r="I50" i="5"/>
  <c r="I30" i="4"/>
  <c r="F42" i="4"/>
  <c r="F46" i="4"/>
  <c r="F49" i="5"/>
  <c r="F53" i="5" s="1"/>
  <c r="F58" i="5" s="1"/>
  <c r="F59" i="5" s="1"/>
  <c r="F70" i="5"/>
  <c r="H17" i="6"/>
  <c r="H18" i="6" s="1"/>
  <c r="H20" i="6" s="1"/>
  <c r="H22" i="6"/>
  <c r="G23" i="6"/>
  <c r="G52" i="5"/>
  <c r="F30" i="6"/>
  <c r="C28" i="8"/>
  <c r="I15" i="6"/>
  <c r="I54" i="5"/>
  <c r="I55" i="5" s="1"/>
  <c r="I44" i="5"/>
  <c r="H16" i="6"/>
  <c r="H32" i="4"/>
  <c r="H56" i="5"/>
  <c r="H57" i="5" s="1"/>
  <c r="H23" i="5"/>
  <c r="J31" i="4" l="1"/>
  <c r="J14" i="6" s="1"/>
  <c r="J51" i="5"/>
  <c r="J71" i="5"/>
  <c r="J27" i="4"/>
  <c r="J12" i="6"/>
  <c r="F41" i="6"/>
  <c r="I24" i="7"/>
  <c r="E39" i="8"/>
  <c r="E26" i="8"/>
  <c r="E27" i="8"/>
  <c r="J22" i="6"/>
  <c r="J50" i="5"/>
  <c r="F36" i="6"/>
  <c r="F37" i="6" s="1"/>
  <c r="J30" i="4"/>
  <c r="I32" i="4"/>
  <c r="I16" i="6"/>
  <c r="G31" i="5"/>
  <c r="G28" i="5"/>
  <c r="F62" i="5"/>
  <c r="F65" i="5" s="1"/>
  <c r="F69" i="5" s="1"/>
  <c r="F72" i="5" s="1"/>
  <c r="I22" i="6"/>
  <c r="I17" i="6"/>
  <c r="I18" i="6" s="1"/>
  <c r="I20" i="6" s="1"/>
  <c r="H13" i="6"/>
  <c r="H21" i="6" s="1"/>
  <c r="H24" i="6" s="1"/>
  <c r="H33" i="4"/>
  <c r="H67" i="5"/>
  <c r="H68" i="5" s="1"/>
  <c r="I21" i="5"/>
  <c r="H24" i="5"/>
  <c r="H25" i="5" s="1"/>
  <c r="H36" i="4" s="1"/>
  <c r="J39" i="5"/>
  <c r="G30" i="6"/>
  <c r="I66" i="5"/>
  <c r="I45" i="5"/>
  <c r="I46" i="5" s="1"/>
  <c r="I13" i="6" l="1"/>
  <c r="I21" i="6" s="1"/>
  <c r="I24" i="6" s="1"/>
  <c r="I33" i="4"/>
  <c r="G30" i="5"/>
  <c r="G37" i="4" s="1"/>
  <c r="G38" i="4" s="1"/>
  <c r="F73" i="5"/>
  <c r="G69" i="5"/>
  <c r="D28" i="8"/>
  <c r="H30" i="6"/>
  <c r="I22" i="5"/>
  <c r="J63" i="5"/>
  <c r="J45" i="5"/>
  <c r="I23" i="6"/>
  <c r="I52" i="5"/>
  <c r="J16" i="6"/>
  <c r="J17" i="6" s="1"/>
  <c r="J18" i="6" s="1"/>
  <c r="J20" i="6" s="1"/>
  <c r="J32" i="4"/>
  <c r="I30" i="6" l="1"/>
  <c r="G40" i="4"/>
  <c r="G41" i="4" s="1"/>
  <c r="F38" i="6"/>
  <c r="J46" i="5"/>
  <c r="J13" i="6"/>
  <c r="J33" i="4"/>
  <c r="I56" i="5"/>
  <c r="I57" i="5" s="1"/>
  <c r="I23" i="5"/>
  <c r="G42" i="4" l="1"/>
  <c r="G46" i="4"/>
  <c r="G49" i="5"/>
  <c r="G53" i="5" s="1"/>
  <c r="G58" i="5" s="1"/>
  <c r="G59" i="5" s="1"/>
  <c r="G70" i="5"/>
  <c r="G72" i="5" s="1"/>
  <c r="J52" i="5"/>
  <c r="J23" i="6"/>
  <c r="F34" i="6"/>
  <c r="F35" i="6" s="1"/>
  <c r="F39" i="6" s="1"/>
  <c r="F40" i="6" s="1"/>
  <c r="F42" i="6" s="1"/>
  <c r="F43" i="6" s="1"/>
  <c r="J21" i="6"/>
  <c r="J24" i="6" s="1"/>
  <c r="I67" i="5"/>
  <c r="I68" i="5" s="1"/>
  <c r="J21" i="5"/>
  <c r="I24" i="5"/>
  <c r="I25" i="5" s="1"/>
  <c r="I36" i="4" s="1"/>
  <c r="G62" i="5" l="1"/>
  <c r="G65" i="5" s="1"/>
  <c r="H31" i="5"/>
  <c r="H28" i="5"/>
  <c r="H69" i="5"/>
  <c r="G73" i="5"/>
  <c r="F44" i="6"/>
  <c r="I4" i="7" s="1"/>
  <c r="F48" i="6"/>
  <c r="F74" i="6"/>
  <c r="D74" i="6"/>
  <c r="D73" i="6"/>
  <c r="D65" i="6"/>
  <c r="F73" i="6"/>
  <c r="G67" i="6"/>
  <c r="E33" i="8" s="1"/>
  <c r="D67" i="6"/>
  <c r="F75" i="6"/>
  <c r="D71" i="6"/>
  <c r="F66" i="6"/>
  <c r="E63" i="6"/>
  <c r="D31" i="8" s="1"/>
  <c r="G71" i="6"/>
  <c r="E71" i="6"/>
  <c r="C73" i="6"/>
  <c r="F67" i="6"/>
  <c r="C71" i="6"/>
  <c r="G72" i="6"/>
  <c r="F64" i="6"/>
  <c r="C74" i="6"/>
  <c r="E65" i="6"/>
  <c r="D32" i="8" s="1"/>
  <c r="E73" i="6"/>
  <c r="E72" i="6"/>
  <c r="C67" i="6"/>
  <c r="C33" i="8" s="1"/>
  <c r="C66" i="6"/>
  <c r="G65" i="6"/>
  <c r="E32" i="8" s="1"/>
  <c r="F65" i="6"/>
  <c r="C64" i="6"/>
  <c r="D63" i="6"/>
  <c r="F63" i="6"/>
  <c r="E66" i="6"/>
  <c r="E74" i="6"/>
  <c r="C63" i="6"/>
  <c r="C31" i="8" s="1"/>
  <c r="D75" i="6"/>
  <c r="E64" i="6"/>
  <c r="D64" i="6"/>
  <c r="G64" i="6"/>
  <c r="G63" i="6"/>
  <c r="E31" i="8" s="1"/>
  <c r="G74" i="6"/>
  <c r="E67" i="6"/>
  <c r="D33" i="8" s="1"/>
  <c r="D72" i="6"/>
  <c r="F71" i="6"/>
  <c r="F72" i="6"/>
  <c r="C75" i="6"/>
  <c r="G66" i="6"/>
  <c r="G73" i="6"/>
  <c r="C65" i="6"/>
  <c r="C32" i="8" s="1"/>
  <c r="C72" i="6"/>
  <c r="E75" i="6"/>
  <c r="D66" i="6"/>
  <c r="G75" i="6"/>
  <c r="J30" i="6"/>
  <c r="F31" i="6" s="1"/>
  <c r="F47" i="6" s="1"/>
  <c r="E28" i="8"/>
  <c r="J22" i="5"/>
  <c r="J56" i="5" s="1"/>
  <c r="J57" i="5" s="1"/>
  <c r="J23" i="5"/>
  <c r="H30" i="5" l="1"/>
  <c r="H37" i="4" s="1"/>
  <c r="H38" i="4" s="1"/>
  <c r="F49" i="6"/>
  <c r="J67" i="5"/>
  <c r="J68" i="5" s="1"/>
  <c r="J24" i="5"/>
  <c r="J25" i="5" s="1"/>
  <c r="J36" i="4" s="1"/>
  <c r="H40" i="4" l="1"/>
  <c r="H41" i="4" s="1"/>
  <c r="F53" i="6"/>
  <c r="F80" i="6"/>
  <c r="F81" i="6"/>
  <c r="F79" i="6"/>
  <c r="F78" i="6"/>
  <c r="G4" i="7"/>
  <c r="H42" i="4" l="1"/>
  <c r="H46" i="4"/>
  <c r="H49" i="5"/>
  <c r="H53" i="5" s="1"/>
  <c r="H58" i="5" s="1"/>
  <c r="H59" i="5" s="1"/>
  <c r="H70" i="5"/>
  <c r="H72" i="5" s="1"/>
  <c r="F55" i="6"/>
  <c r="F82" i="6"/>
  <c r="I31" i="5" l="1"/>
  <c r="I28" i="5"/>
  <c r="H62" i="5"/>
  <c r="H65" i="5" s="1"/>
  <c r="I69" i="5"/>
  <c r="H73" i="5"/>
  <c r="F57" i="6"/>
  <c r="A4" i="7"/>
  <c r="I30" i="5" l="1"/>
  <c r="I37" i="4" s="1"/>
  <c r="I38" i="4" s="1"/>
  <c r="E4" i="7"/>
  <c r="C5" i="7"/>
  <c r="I40" i="4" l="1"/>
  <c r="I41" i="4" s="1"/>
  <c r="I42" i="4" l="1"/>
  <c r="I46" i="4"/>
  <c r="I49" i="5"/>
  <c r="I53" i="5" s="1"/>
  <c r="I58" i="5" s="1"/>
  <c r="I59" i="5" s="1"/>
  <c r="I70" i="5"/>
  <c r="I72" i="5" s="1"/>
  <c r="J31" i="5" l="1"/>
  <c r="J28" i="5"/>
  <c r="I62" i="5"/>
  <c r="I65" i="5" s="1"/>
  <c r="J69" i="5"/>
  <c r="I73" i="5"/>
  <c r="J30" i="5" l="1"/>
  <c r="J37" i="4" s="1"/>
  <c r="J38" i="4" s="1"/>
  <c r="J41" i="4" l="1"/>
  <c r="J40" i="4"/>
  <c r="J42" i="4" l="1"/>
  <c r="J46" i="4"/>
  <c r="J49" i="5"/>
  <c r="J53" i="5" s="1"/>
  <c r="J58" i="5" s="1"/>
  <c r="J59" i="5" s="1"/>
  <c r="J62" i="5" s="1"/>
  <c r="J65" i="5" s="1"/>
  <c r="J70" i="5"/>
  <c r="J72" i="5" s="1"/>
  <c r="J73" i="5" s="1"/>
</calcChain>
</file>

<file path=xl/sharedStrings.xml><?xml version="1.0" encoding="utf-8"?>
<sst xmlns="http://schemas.openxmlformats.org/spreadsheetml/2006/main" count="772" uniqueCount="501">
  <si>
    <t>Space Exploration Technologies Corp. (SPCX)</t>
  </si>
  <si>
    <t>Discounted Cash Flow Valuation Model</t>
  </si>
  <si>
    <t xml:space="preserve">Based on S-1/A Amendment No. 2 (SEC filing, 2026-06-03) </t>
  </si>
  <si>
    <t>Item</t>
  </si>
  <si>
    <t>Details</t>
  </si>
  <si>
    <t>Ticker / Exchange</t>
  </si>
  <si>
    <t>SPCX / Nasdaq</t>
  </si>
  <si>
    <t>Currency / Units</t>
  </si>
  <si>
    <t>USD, $ millions</t>
  </si>
  <si>
    <t>Fiscal year end</t>
  </si>
  <si>
    <t>December 31</t>
  </si>
  <si>
    <t>Valuation date</t>
  </si>
  <si>
    <t>June 19, 2026</t>
  </si>
  <si>
    <t>Current share price</t>
  </si>
  <si>
    <t>$157.54 (Nasdaq close July 1st, 2026)</t>
  </si>
  <si>
    <t>IPO date / price</t>
  </si>
  <si>
    <t>June 12, 2026 / $135.00 per share</t>
  </si>
  <si>
    <t>Source filing</t>
  </si>
  <si>
    <t>SEC Form S-1/A Amendment No. 2 (CIK 0001181412, Accession 0001628280-26-040364)</t>
  </si>
  <si>
    <t>Diluted shares (M)</t>
  </si>
  <si>
    <t>13,075.9 (Class A 7,380.2 + Class B 5,695.7, post-IPO)</t>
  </si>
  <si>
    <t>Segments</t>
  </si>
  <si>
    <t>Space (launch services) · Connectivity (Starlink broadband) · AI (xAI / compute)</t>
  </si>
  <si>
    <t>Color Legend</t>
  </si>
  <si>
    <t>Blue font</t>
  </si>
  <si>
    <t>Hardcoded number sourced directly from the S-1/A SEC filing.</t>
  </si>
  <si>
    <t>Orange font</t>
  </si>
  <si>
    <t>Analyst assumption: toggle Bear/Base/Bull in the Assumptions sheet (cell C5).</t>
  </si>
  <si>
    <t>Black font</t>
  </si>
  <si>
    <t>Formula calculated within the same sheet.</t>
  </si>
  <si>
    <t>SPCX: Model Assumptions</t>
  </si>
  <si>
    <t>Change cell C5 (Scenario toggle) to switch all assumptions simultaneously: 1 = Bear  |  2 = Base  |  3 = Bull</t>
  </si>
  <si>
    <t>Scenario (1 = Bear, 2 = Base, 3 = Bull)</t>
  </si>
  <si>
    <t>(Change Number to toggle between different scenario)</t>
  </si>
  <si>
    <t>Assumption</t>
  </si>
  <si>
    <t>Bear</t>
  </si>
  <si>
    <t>Base</t>
  </si>
  <si>
    <t>Bull</t>
  </si>
  <si>
    <t>Active</t>
  </si>
  <si>
    <t>Rationale &amp; Source</t>
  </si>
  <si>
    <t>1 ·  Revenue Assumptions: Segment YoY Growth Rates (linear interpolation FY+1 to FY+5)</t>
  </si>
  <si>
    <t>Space: revenue growth, FY+1</t>
  </si>
  <si>
    <t>FY25A revenue grew 7.6% YoY. Bear assumes Starship delays limit new commercial launches, Base assumes a gradual commercial ramp from H2 2026, and Bull assumes stronger demand supported by Starlink V3 missions and higher payload capacity.</t>
  </si>
  <si>
    <t>Space: revenue growth, FY+5</t>
  </si>
  <si>
    <t>Growth improves as Starship reusability lowers launch costs and supports a higher launch cadence. Bear assumes slower adoption, while Bull assumes SpaceX becomes the dominant commercial launch provider.</t>
  </si>
  <si>
    <t>Connectivity: revenue growth, FY+1</t>
  </si>
  <si>
    <t>FY25A revenue grew 49.8% YoY with approximately 10.3 million subscribers. Base assumes subscriber growth gradually slows as penetration increases, while Bear reflects competitive and regulatory pressures.</t>
  </si>
  <si>
    <t>Connectivity: revenue growth, FY+5</t>
  </si>
  <si>
    <t>Growth moderates as the LEO broadband market matures. Base assumes approximately 18–20 million subscribers by FY2030.</t>
  </si>
  <si>
    <t>AI: revenue growth, FY+1</t>
  </si>
  <si>
    <t>FY25A AI revenue was approximately $3.2B. Base assumes continued enterprise AI demand, Bull reflects rapid scaling of large compute contracts, and Bear assumes slower customer adoption and execution delays.</t>
  </si>
  <si>
    <t>AI: revenue growth, FY+5</t>
  </si>
  <si>
    <t>Growth slows as the business matures but remains above traditional cloud providers. Bull assumes sustained enterprise AI demand, while Bear assumes weaker contract renewals and slower monetisation.</t>
  </si>
  <si>
    <t>2 ·  Margin Assumptions: Segment Adj. EBITDA Margin (linear interpolation FY+1 to FY+5)</t>
  </si>
  <si>
    <t>Space: EBITDA margin, FY+1</t>
  </si>
  <si>
    <t>Margins improve as Starship development costs decline and launch operations become more efficient through greater reusability.</t>
  </si>
  <si>
    <t>Space: EBITDA margin, FY+5</t>
  </si>
  <si>
    <t>Connectivity: EBITDA margin, FY+1</t>
  </si>
  <si>
    <t>Margins benefit from operating leverage as the subscriber base grows and higher-value service tiers are introduced.</t>
  </si>
  <si>
    <t>Connectivity: EBITDA margin, FY+5</t>
  </si>
  <si>
    <t>AI: EBITDA margin, FY+1</t>
  </si>
  <si>
    <t>Margins improve over time as GPU utilisation rises, inference costs decline, and enterprise AI contracts scale.</t>
  </si>
  <si>
    <t>AI: EBITDA margin, FY+5</t>
  </si>
  <si>
    <t>3 ·  Capex Assumptions: Segment % of Segment Revenue (linear interpolation FY+1 to FY+5)</t>
  </si>
  <si>
    <t>Space: capex % of revenue, FY+1</t>
  </si>
  <si>
    <t>High initial investment supports Starship production and launch infrastructure before gradually normalising as reusable systems mature.</t>
  </si>
  <si>
    <t>Space: capex % of revenue, FY+5</t>
  </si>
  <si>
    <t>Connectivity: capex % of revenue, FY+1</t>
  </si>
  <si>
    <t>Investment remains elevated during Starlink V3 deployment before declining as the constellation matures.</t>
  </si>
  <si>
    <t>Connectivity: capex % of revenue, FY+5</t>
  </si>
  <si>
    <t>AI: capex % of revenue, FY+1</t>
  </si>
  <si>
    <t>Near-term CapEx is intentionally high to support AI infrastructure build-out before normalising as utilisation improves.</t>
  </si>
  <si>
    <t>AI: capex % of revenue, FY+5</t>
  </si>
  <si>
    <t>4 ·  PP&amp;E Useful Lives: D&amp;A Derived from PP&amp;E Roll (not % of revenue)</t>
  </si>
  <si>
    <t>Space: average useful life (years)</t>
  </si>
  <si>
    <t>Bear assumes faster wear from intensive operations, Base reflects current expectations, and Bull assumes better maintenance and refurbishment extend asset lives.</t>
  </si>
  <si>
    <t>Connectivity: average useful life (years)</t>
  </si>
  <si>
    <t>Bull assumes newer satellite generations remain operational for longer, while Bear assumes faster replacement cycles.</t>
  </si>
  <si>
    <t>AI: average useful life (years)</t>
  </si>
  <si>
    <t>Bull intentionally assumes shorter economic lives because faster GPU refresh cycles increase technological obsolescence despite higher investment.</t>
  </si>
  <si>
    <t>5 ·  Operating Assumptions: SBC, Working Capital, Tax, Bonus Depreciation</t>
  </si>
  <si>
    <t>SBC % of revenue (flat)</t>
  </si>
  <si>
    <t>Modelled as a constant percentage of revenue using comparable technology companies due to limited disclosure.</t>
  </si>
  <si>
    <t>Non-GAAP EBITDA haircut %</t>
  </si>
  <si>
    <t>Applies a conservative adjustment for recurring items excluded from Adjusted EBITDA.</t>
  </si>
  <si>
    <t>DSO (days, applied to revenue)</t>
  </si>
  <si>
    <t>Based on a blended mix of consumer, enterprise, and government customers.</t>
  </si>
  <si>
    <t>DIO (days, applied to revenue)</t>
  </si>
  <si>
    <t>Assumes inventory efficiency improves as production scales.</t>
  </si>
  <si>
    <t>DPO (days, applied to revenue)</t>
  </si>
  <si>
    <t>Assumes supplier payment terms improve as purchasing power increases.</t>
  </si>
  <si>
    <t>Tax rate (flat)</t>
  </si>
  <si>
    <t>Uses the U.S. federal statutory corporate tax rate. Potential tax credits are excluded for conservatism.</t>
  </si>
  <si>
    <t>Bonus depreciation % of capex (OBBBA)</t>
  </si>
  <si>
    <t>Assumes qualifying CapEx benefits from first-year bonus depreciation under current U.S. tax legislation.</t>
  </si>
  <si>
    <t>Other current assets, % of revenue</t>
  </si>
  <si>
    <t>Proxy for non-AR/inventory current assets. Not separately disclosed in S-1/A summary tables.</t>
  </si>
  <si>
    <t>Other current liabilities, % of revenue</t>
  </si>
  <si>
    <t>Proxy for non-AP current liabilities (deferred revenue, accrued expenses). Not separately disclosed.</t>
  </si>
  <si>
    <t>6 ·  Interest, Debt &amp; Cash</t>
  </si>
  <si>
    <t>Interest income rate on cash</t>
  </si>
  <si>
    <t>Applied to the average cash balance using prevailing short-term interest rates.</t>
  </si>
  <si>
    <t>Annual debt repayment % of balance</t>
  </si>
  <si>
    <t>Assumes gradual repayment of outstanding borrowings.</t>
  </si>
  <si>
    <t>Pre-tax cost of debt</t>
  </si>
  <si>
    <t>Estimated using comparable technology and aerospace borrowers.</t>
  </si>
  <si>
    <t>7 ·  WACC &amp; Capital Structure</t>
  </si>
  <si>
    <t>Size premium</t>
  </si>
  <si>
    <t>Near-zero given mega-cap status. Bear adds small execution-risk premium.</t>
  </si>
  <si>
    <t>Risk-free rate (10-yr UST yield)</t>
  </si>
  <si>
    <t>Based on the prevailing 10-year U.S. Treasury yield.</t>
  </si>
  <si>
    <t>Equity risk premium (ERP)</t>
  </si>
  <si>
    <t>Based on current market estimates with a higher premium in the Bear case.</t>
  </si>
  <si>
    <t>Space segment beta</t>
  </si>
  <si>
    <t>Estimated using comparable aerospace, satellite, and AI companies.</t>
  </si>
  <si>
    <t>Connectivity segment beta</t>
  </si>
  <si>
    <t>AI segment beta</t>
  </si>
  <si>
    <t>Revenue-weighted blended beta</t>
  </si>
  <si>
    <t>Calculated using each segment's contribution to total revenue.</t>
  </si>
  <si>
    <t>Target debt weight D/(D+E)</t>
  </si>
  <si>
    <t>Assumes SpaceX remains predominantly equity-financed following the IPO.</t>
  </si>
  <si>
    <t>Cost of equity, Ke = Rf + Beta×ERP</t>
  </si>
  <si>
    <t>Calculated using CAPM.</t>
  </si>
  <si>
    <t>WACC</t>
  </si>
  <si>
    <t>Calculated using the weighted average cost of equity and after-tax cost of debt.</t>
  </si>
  <si>
    <t>8 ·  Terminal Value</t>
  </si>
  <si>
    <t>Terminal growth rate, g</t>
  </si>
  <si>
    <t>Limited to a sustainable long-term growth rate below 3%.</t>
  </si>
  <si>
    <t>Exit EV/EBITDA multiple (cross-check)</t>
  </si>
  <si>
    <t>Used as a valuation cross-check rather than the primary terminal value method.</t>
  </si>
  <si>
    <t>TV method (1 = GGM, 2 = Exit Multiple)</t>
  </si>
  <si>
    <t>Change both Cells (C59 &amp; E59) to toggle between GGM &amp; Exit Multiple Method</t>
  </si>
  <si>
    <t>Mid-year discounting (1 = Yes)</t>
  </si>
  <si>
    <t>Assumes cash flows are generated evenly throughout the year and discounts them using the mid-year convention.</t>
  </si>
  <si>
    <t>9 ·  S-1/A Balance Sheet Inputs (Blue = hardcoded from filing, scenario-invariant)</t>
  </si>
  <si>
    <t>Opening debt, $M (Mar-31-2026)</t>
  </si>
  <si>
    <t>Outstanding debt reported in the S-1/A filing.</t>
  </si>
  <si>
    <t>Cash, $M, pre-IPO (Mar-31-2026)</t>
  </si>
  <si>
    <t>Cash balance immediately before the IPO.</t>
  </si>
  <si>
    <t>IPO net proceeds, $M (Jun-12-2026)</t>
  </si>
  <si>
    <t>Net proceeds expected from the IPO after underwriting fees.</t>
  </si>
  <si>
    <t>Pro forma opening cash, $M (post-IPO)</t>
  </si>
  <si>
    <t>Opening cash adjusted for IPO proceeds.</t>
  </si>
  <si>
    <t>Net debt/(net cash), $M</t>
  </si>
  <si>
    <t>Reflects the post-IPO cash position after debt adjustments.</t>
  </si>
  <si>
    <t>Preferred stock remaining (Mar-31-2026), $M</t>
  </si>
  <si>
    <t>Outstanding preferred shares expected to convert at IPO.</t>
  </si>
  <si>
    <t>Diluted shares post-IPO (M)</t>
  </si>
  <si>
    <t>Fully diluted post-IPO share count used for per-share valuation.</t>
  </si>
  <si>
    <t>Current share price, $</t>
  </si>
  <si>
    <t>Reference market price used to compare against the model's implied valuation.</t>
  </si>
  <si>
    <t>Space Exploration Technologies Corp. (SPCX): Input_Data Extraction</t>
  </si>
  <si>
    <t>All figures in $ millions unless noted. FY-3=FY2023, FY-2=FY2024, FY-1=FY2025 (fiscal year end Dec 31)</t>
  </si>
  <si>
    <t>Line Item</t>
  </si>
  <si>
    <t>Units</t>
  </si>
  <si>
    <t>FY2023 (FY-3)</t>
  </si>
  <si>
    <t>FY2024 (FY-2)</t>
  </si>
  <si>
    <t>FY2025 (FY-1)</t>
  </si>
  <si>
    <t>Company name</t>
  </si>
  <si>
    <t>Space Exploration Technologies Corp.</t>
  </si>
  <si>
    <t>Ticker</t>
  </si>
  <si>
    <t>SPCX</t>
  </si>
  <si>
    <t>Reporting currency</t>
  </si>
  <si>
    <t>USD</t>
  </si>
  <si>
    <t>$M</t>
  </si>
  <si>
    <t>Most recent reporting date</t>
  </si>
  <si>
    <t>March 31, 2026 (Q1 2026, unaudited); FY-1 = FYE Dec 31, 2025 (audited)</t>
  </si>
  <si>
    <t>Diluted shares outstanding (period-end)</t>
  </si>
  <si>
    <t>13,075.9 (Class A 7,380.2 + Class B 5,695.7, post-offering)</t>
  </si>
  <si>
    <t>157.54 (close 2026-07-01; IPO priced at $135.00 on 2026-06-12, trading range $149-$226 since listing)</t>
  </si>
  <si>
    <t>Sector</t>
  </si>
  <si>
    <t>Aerospace/Space Launch, Satellite Connectivity, and AI Compute/Infrastructure (diversified, 3 reportable segments)</t>
  </si>
  <si>
    <t>Income Statement</t>
  </si>
  <si>
    <t>Revenue (total)</t>
  </si>
  <si>
    <t>Segment revenue 1 (Space)</t>
  </si>
  <si>
    <t>n/a</t>
  </si>
  <si>
    <t>Segment revenue 2 (Connectivity)</t>
  </si>
  <si>
    <t>Segment revenue 3 (AI)</t>
  </si>
  <si>
    <t>Segment revenue 4</t>
  </si>
  <si>
    <t>Segment revenue 5</t>
  </si>
  <si>
    <t>COGS</t>
  </si>
  <si>
    <t>Gross profit</t>
  </si>
  <si>
    <t>SG&amp;A</t>
  </si>
  <si>
    <t>R&amp;D</t>
  </si>
  <si>
    <t>Other operating expenses</t>
  </si>
  <si>
    <t>EBITDA</t>
  </si>
  <si>
    <t>D&amp;A</t>
  </si>
  <si>
    <t>EBIT</t>
  </si>
  <si>
    <t>Interest expense</t>
  </si>
  <si>
    <t>Interest income</t>
  </si>
  <si>
    <t>Other non-op</t>
  </si>
  <si>
    <t>Pre-tax income</t>
  </si>
  <si>
    <t>Tax expense</t>
  </si>
  <si>
    <t>Net income</t>
  </si>
  <si>
    <t>Minority interest</t>
  </si>
  <si>
    <t>NI to common</t>
  </si>
  <si>
    <t>Basic shares (wtd avg)</t>
  </si>
  <si>
    <t>Diluted shares (wtd avg)</t>
  </si>
  <si>
    <t>EPS diluted</t>
  </si>
  <si>
    <t>Balance Sheet (period-end)</t>
  </si>
  <si>
    <t>Cash</t>
  </si>
  <si>
    <t>ST investments</t>
  </si>
  <si>
    <t>AR</t>
  </si>
  <si>
    <t>Inventory</t>
  </si>
  <si>
    <t>Other CA</t>
  </si>
  <si>
    <t>Total CA</t>
  </si>
  <si>
    <t>PP&amp;E net</t>
  </si>
  <si>
    <t>Goodwill</t>
  </si>
  <si>
    <t>Intangibles</t>
  </si>
  <si>
    <t>Other LT assets</t>
  </si>
  <si>
    <t>Total assets</t>
  </si>
  <si>
    <t>AP</t>
  </si>
  <si>
    <t>ST debt/current LTD</t>
  </si>
  <si>
    <t>Other CL</t>
  </si>
  <si>
    <t>Total CL</t>
  </si>
  <si>
    <t>LT debt</t>
  </si>
  <si>
    <t>DTL</t>
  </si>
  <si>
    <t>Other LT liab</t>
  </si>
  <si>
    <t>Total liab</t>
  </si>
  <si>
    <t>Common equity</t>
  </si>
  <si>
    <t>Retained earnings</t>
  </si>
  <si>
    <t>Other equity/AOCI</t>
  </si>
  <si>
    <t>MI (BS)</t>
  </si>
  <si>
    <t>Total equity</t>
  </si>
  <si>
    <t>Total L&amp;E</t>
  </si>
  <si>
    <t>Cash Flow</t>
  </si>
  <si>
    <t>NI (CF)</t>
  </si>
  <si>
    <t>D&amp;A (CF)</t>
  </si>
  <si>
    <t>SBC</t>
  </si>
  <si>
    <t>∆WC</t>
  </si>
  <si>
    <t>Other op</t>
  </si>
  <si>
    <t>CFO</t>
  </si>
  <si>
    <t>Capex</t>
  </si>
  <si>
    <t>Acquisitions</t>
  </si>
  <si>
    <t>Other inv</t>
  </si>
  <si>
    <t>CFI</t>
  </si>
  <si>
    <t>Debt iss/(repaid)</t>
  </si>
  <si>
    <t>Equity iss/(repurch)</t>
  </si>
  <si>
    <t>Other fin</t>
  </si>
  <si>
    <t>CFF</t>
  </si>
  <si>
    <t>FX</t>
  </si>
  <si>
    <t>Net change in cash</t>
  </si>
  <si>
    <t>Qualitative (FY-1 only)</t>
  </si>
  <si>
    <t>Business description</t>
  </si>
  <si>
    <t>Vertically integrated space, satellite-connectivity, and AI company. Designs, manufactures and launches reusable rockets (Falcon 9, Falcon Heavy, Starship/Super Heavy) and Dragon spacecraft; operates the Starlink global LEO broadband and satellite-to-mobile constellation (~9,600 satellites, 164 countries, 10.3M subscribers as of Mar-2026); and, following the Feb-2026 acquisition of xAI, operates AI compute infrastructure (COLOSSUS/COLOSSUS II), the Grok frontier-model family, and the X platform.</t>
  </si>
  <si>
    <t>Products/segments</t>
  </si>
  <si>
    <t>Three reportable segments: Space (Falcon/Dragon/Starship launch services to commercial, civil and government customers), Connectivity (Starlink Consumer Broadband, Enterprise, Government Solutions, Starlink Mobile), AI (AI compute capacity, Grok, X advertising and subscriptions).</t>
  </si>
  <si>
    <t>Recent M&amp;A</t>
  </si>
  <si>
    <t>Acquired xAI (X.AI Holdings Corp.), effective Feb-2-2026, itself having acquired X Holdings Corp. (Twitter) effective Mar-28-2025: both recast under common-control accounting for all periods presented. Pending: EchoStar spectrum-license purchase (FCC-approved May-12-2026; expected close Nov-2027). Option (not obligation) to acquire Cursor (Anysphere, Inc.) at an implied $60.0B equity value.</t>
  </si>
  <si>
    <t>Off-BS items</t>
  </si>
  <si>
    <t>Cursor option agreement: $1.5B termination fee + $8.5B deferred services fee contingent on certain terminations (payable in cash or stock). Non-cancellable multi-year cloud-compute capacity commitments referenced qualitatively (amounts not quantified in extractable sections).</t>
  </si>
  <si>
    <t>SPCX. Income Statement Forecast</t>
  </si>
  <si>
    <t>FY2023</t>
  </si>
  <si>
    <t>FY2024</t>
  </si>
  <si>
    <t>FY2025</t>
  </si>
  <si>
    <t>FY2026E</t>
  </si>
  <si>
    <t>FY2027E</t>
  </si>
  <si>
    <t>FY2028E</t>
  </si>
  <si>
    <t>FY2029E</t>
  </si>
  <si>
    <t>FY2030E</t>
  </si>
  <si>
    <t>Segment Revenue Build</t>
  </si>
  <si>
    <t>Space. Revenue growth %</t>
  </si>
  <si>
    <t>Space. Revenue ($M)</t>
  </si>
  <si>
    <t>Connectivity. Revenue growth %</t>
  </si>
  <si>
    <t>Connectivity. Revenue ($M)</t>
  </si>
  <si>
    <t>AI. Revenue growth %</t>
  </si>
  <si>
    <t>AI. Revenue ($M)</t>
  </si>
  <si>
    <t>Total Revenue ($M)</t>
  </si>
  <si>
    <t>Total Revenue YoY growth %</t>
  </si>
  <si>
    <t>Segment Adjusted EBITDA Build (historical memo in blue. not part of Input schema; source: S-1/A segment data)</t>
  </si>
  <si>
    <t>Space. Adjusted EBITDA, historical memo ($M)</t>
  </si>
  <si>
    <t>Space. EBITDA margin %</t>
  </si>
  <si>
    <t>Space. Adjusted EBITDA ($M)</t>
  </si>
  <si>
    <t>Connectivity. Adjusted EBITDA, historical memo ($M)</t>
  </si>
  <si>
    <t>Connectivity. EBITDA margin %</t>
  </si>
  <si>
    <t>Connectivity. Adjusted EBITDA ($M)</t>
  </si>
  <si>
    <t>AI. Adjusted EBITDA, historical memo ($M)</t>
  </si>
  <si>
    <t>AI. EBITDA margin %</t>
  </si>
  <si>
    <t>AI. Adjusted EBITDA ($M)</t>
  </si>
  <si>
    <t>Total Adjusted EBITDA ($M)</t>
  </si>
  <si>
    <t>Total Adjusted EBITDA margin %</t>
  </si>
  <si>
    <t>EBIT Build</t>
  </si>
  <si>
    <t>D&amp;A ($M)</t>
  </si>
  <si>
    <t>Stock-based comp ($M)</t>
  </si>
  <si>
    <t>EBIT ($M)</t>
  </si>
  <si>
    <t>EBIT margin %</t>
  </si>
  <si>
    <t>Interest, Tax &amp; Net Income</t>
  </si>
  <si>
    <t>Interest expense ($M)</t>
  </si>
  <si>
    <t>Interest income ($M)</t>
  </si>
  <si>
    <t>Pre-tax income ($M)</t>
  </si>
  <si>
    <t>Tax rate</t>
  </si>
  <si>
    <t>Tax expense ($M)</t>
  </si>
  <si>
    <t>Net income ($M)</t>
  </si>
  <si>
    <t>Net income margin %</t>
  </si>
  <si>
    <t>Per-Share Data</t>
  </si>
  <si>
    <t>Diluted shares outstanding ($M)</t>
  </si>
  <si>
    <t>EPS, diluted ($)</t>
  </si>
  <si>
    <t>SPCX. Balance Sheet &amp; Cash Flow Forecast</t>
  </si>
  <si>
    <t>All figures $M. ORANGE=Assumption (scenario-driven). GREEN=cross-sheet link. BLACK=same-sheet formula. BLUE=S-1/A data. GRAY=note/helper.</t>
  </si>
  <si>
    <t>PP&amp;E and D&amp;A Schedule</t>
  </si>
  <si>
    <t>Opening PP&amp;E ($M)</t>
  </si>
  <si>
    <t>Space. Capex, % of segment revenue</t>
  </si>
  <si>
    <t>Space. Capex ($M)</t>
  </si>
  <si>
    <t>Connectivity. Capex, % of segment revenue</t>
  </si>
  <si>
    <t>Connectivity. Capex ($M)</t>
  </si>
  <si>
    <t>AI. Capex, % of segment revenue</t>
  </si>
  <si>
    <t>AI. Capex ($M)</t>
  </si>
  <si>
    <t>Total Capex ($M)</t>
  </si>
  <si>
    <t>Blended PP&amp;E useful life, revenue-weighted (years)</t>
  </si>
  <si>
    <t>D&amp;A ($M) = Opening PP&amp;E / Blended useful life</t>
  </si>
  <si>
    <t>Closing PP&amp;E ($M)</t>
  </si>
  <si>
    <t>Stock-based comp, % of revenue (flat)</t>
  </si>
  <si>
    <t>Debt Schedule</t>
  </si>
  <si>
    <t>Opening debt ($M)</t>
  </si>
  <si>
    <t>Repayment ($M)</t>
  </si>
  <si>
    <t>Closing debt ($M)</t>
  </si>
  <si>
    <t>Average debt balance ($M)</t>
  </si>
  <si>
    <t>Computed on AVERAGE debt balance</t>
  </si>
  <si>
    <t>Cash &amp; Interest Income</t>
  </si>
  <si>
    <t>Opening cash ($M)</t>
  </si>
  <si>
    <t>Interest income rate on cash (flat)</t>
  </si>
  <si>
    <t>Approximate closing = opening + EBIT×(1−t) + D&amp;A + SBC + ΔNWC − Capex − Debt repayment.</t>
  </si>
  <si>
    <t>Approximate closing cash, pre-interest income ($M)</t>
  </si>
  <si>
    <t>Working Capital Schedule (DIO/DPO applied to Revenue. COGS not disclosed; see Assumptions sheet notes)</t>
  </si>
  <si>
    <t>DSO (days)</t>
  </si>
  <si>
    <t>AR ($M)</t>
  </si>
  <si>
    <t>Inventory, proxy ($M)</t>
  </si>
  <si>
    <t>Other CA, % of revenue</t>
  </si>
  <si>
    <t>Other CA ($M)</t>
  </si>
  <si>
    <t>Total CA, excl. cash ($M)</t>
  </si>
  <si>
    <t>AP ($M)</t>
  </si>
  <si>
    <t>Other CL, % of revenue</t>
  </si>
  <si>
    <t>Other CL ($M)</t>
  </si>
  <si>
    <t>Total CL, excl. debt current portion ($M)</t>
  </si>
  <si>
    <t>Net Working Capital, excl. cash &amp; debt ($M)</t>
  </si>
  <si>
    <t>(Increase)/Decrease in NWC ($M)</t>
  </si>
  <si>
    <t>Cash Flow Statement (Indirect Method)</t>
  </si>
  <si>
    <t>(+) D&amp;A ($M)</t>
  </si>
  <si>
    <t>(+) Stock-based comp ($M)</t>
  </si>
  <si>
    <t>(+/-) Change in NWC ($M)</t>
  </si>
  <si>
    <t>Cash from operations (CFO) ($M)</t>
  </si>
  <si>
    <t>Capex ($M)</t>
  </si>
  <si>
    <t>Cash used in investing (CFI) ($M)</t>
  </si>
  <si>
    <t>Debt repayment ($M)</t>
  </si>
  <si>
    <t>Cash from financing (CFF) ($M)</t>
  </si>
  <si>
    <t>Net change in cash ($M)</t>
  </si>
  <si>
    <t>Closing cash ($M)</t>
  </si>
  <si>
    <t>Balance Sheet Roll-Forward (Forecast)</t>
  </si>
  <si>
    <t>Cash ($M)</t>
  </si>
  <si>
    <t>PP&amp;E, net ($M)</t>
  </si>
  <si>
    <t>Total Assets ($M)</t>
  </si>
  <si>
    <t>Total Debt ($M)</t>
  </si>
  <si>
    <t>Total Liabilities ($M)</t>
  </si>
  <si>
    <t>Opening Equity ($M)</t>
  </si>
  <si>
    <t>(+) Net income ($M)</t>
  </si>
  <si>
    <t>(+) Stock-based comp, non-cash equity build ($M)</t>
  </si>
  <si>
    <t>SBC is a non-cash expense already deducted in Net income; adding it back to equity keeps the BS balanced</t>
  </si>
  <si>
    <t>Closing Equity ($M)</t>
  </si>
  <si>
    <t>Total Liabilities &amp; Equity ($M)</t>
  </si>
  <si>
    <t>SPCX. Discounted Cash Flow Valuation</t>
  </si>
  <si>
    <t>All figures $M except per-share data. Blended WACC used for discounting (segment WACCs are analytical memos in Assumptions rows 60-65; see note in column K row 9). TV/EV &gt; 100%: see warning note in column K row 44. Source: S-1/A Amendment No. 2, filed 2026-06-03.</t>
  </si>
  <si>
    <t>A. Weighted Average Cost of Capital. Consolidated (blended WACC; segment WACCs memo in Assumptions rows 60-65)</t>
  </si>
  <si>
    <t>Cost of equity, Ke</t>
  </si>
  <si>
    <t>After-tax cost of debt, Kd x (1-t)</t>
  </si>
  <si>
    <t>Target debt weight, D/(D+E)</t>
  </si>
  <si>
    <t>Ke*(1-D/(D+E)) + Kd*(1-t)*D/(D+E)</t>
  </si>
  <si>
    <t>B. Unlevered Free Cash Flow</t>
  </si>
  <si>
    <t>EBITDA ($M)</t>
  </si>
  <si>
    <t>EBIT ($M) (memo)</t>
  </si>
  <si>
    <t>(-) Stock-based comp ($M)</t>
  </si>
  <si>
    <t>Capex ($M) (memo, for tax depreciation calc)</t>
  </si>
  <si>
    <t>Book D&amp;A ($M) (memo)</t>
  </si>
  <si>
    <t>Tax depreciation ($M) = MAX(Book D&amp;A, Bonus-eligible % x Capex)</t>
  </si>
  <si>
    <t>Cash taxable income ($M) = EBITDA - SBC - Tax depreciation</t>
  </si>
  <si>
    <t>Cash tax ($M) = MAX(0, Cash taxable income) x Tax rate</t>
  </si>
  <si>
    <t>EBIT x (1-t) equivalent ($M) = EBIT + Book D&amp;A - Cash tax</t>
  </si>
  <si>
    <t>(-) Capex ($M)</t>
  </si>
  <si>
    <t>Unlevered Free Cash Flow ($M)</t>
  </si>
  <si>
    <t>C. Discounting</t>
  </si>
  <si>
    <t>Period (t)</t>
  </si>
  <si>
    <t>Discount period (mid-year adjustment per Assumptions toggle)</t>
  </si>
  <si>
    <t>Discount factor</t>
  </si>
  <si>
    <t>PV of UFCF ($M)</t>
  </si>
  <si>
    <t>Sum PV, explicit period ($M)</t>
  </si>
  <si>
    <t>D. Terminal Value</t>
  </si>
  <si>
    <t>Terminal EBIT ($M) = FY+5 EBIT x (1+g)</t>
  </si>
  <si>
    <t>Terminal EBIT x (1-t) ($M)</t>
  </si>
  <si>
    <t>Terminal D&amp;A ($M) = FY+5 D&amp;A x (1+g)</t>
  </si>
  <si>
    <t>Terminal Capex ($M) (= D&amp;A, steady-state reinvestment)</t>
  </si>
  <si>
    <t>Terminal (+/-) Change in NWC ($M) = -(g x FY+5 NWC)</t>
  </si>
  <si>
    <t>Terminal-year Normalized UFCF ($M)</t>
  </si>
  <si>
    <t>Gordon Growth: Terminal Value ($M) = TV_FCF / (WACC - g)</t>
  </si>
  <si>
    <t>Exit Multiple: Terminal Value ($M) = FY+5 EBITDA x Exit Multiple</t>
  </si>
  <si>
    <t>Selected Terminal Value ($M) (per Assumptions TV Method toggle)</t>
  </si>
  <si>
    <t>PV of Terminal Value ($M)</t>
  </si>
  <si>
    <t>TV as % of Enterprise Value</t>
  </si>
  <si>
    <t>E. Equity Value Bridge</t>
  </si>
  <si>
    <t>(+) PV of Terminal Value ($M)</t>
  </si>
  <si>
    <t>Enterprise Value ($M)</t>
  </si>
  <si>
    <t>(-) Net debt ($M)</t>
  </si>
  <si>
    <t>(-) Minority interest ($M)</t>
  </si>
  <si>
    <t>(-) Preferred stock ($M)</t>
  </si>
  <si>
    <t>Equity Value ($M)</t>
  </si>
  <si>
    <t>Implied share price ($)</t>
  </si>
  <si>
    <t>Current share price ($)</t>
  </si>
  <si>
    <t>Implied upside / (downside) %</t>
  </si>
  <si>
    <t>F. Sensitivity Analysis</t>
  </si>
  <si>
    <t>Sensitivity 1: Implied Share Price ($). WACC (rows) x Terminal Growth g (cols)</t>
  </si>
  <si>
    <t>WACC \ g</t>
  </si>
  <si>
    <t>Sensitivity 2: Implied Share Price ($). WACC (rows) x Exit EV/EBITDA Multiple (cols)</t>
  </si>
  <si>
    <t>WACC \ Exit x</t>
  </si>
  <si>
    <t>G. Implied Trading Multiples (at DCF-implied Enterprise/Equity Value)</t>
  </si>
  <si>
    <t>EV / FY-1 Revenue (FY2025A)</t>
  </si>
  <si>
    <t>EV / FY+1 Revenue (FY2026E)</t>
  </si>
  <si>
    <t>EV / FY-1 Adj. EBITDA (FY2025A)</t>
  </si>
  <si>
    <t>EV / FY+1 Adj. EBITDA (FY2026E)</t>
  </si>
  <si>
    <t>Implied P/E, FY+1E (n.m. if NI &lt;= 0)</t>
  </si>
  <si>
    <t>SPCX: Valuation Dashboard</t>
  </si>
  <si>
    <t>Implied Share Price</t>
  </si>
  <si>
    <t>Current Market Price as of 1st July</t>
  </si>
  <si>
    <t>Upside/(Downside)</t>
  </si>
  <si>
    <t>TV/EV Ratio</t>
  </si>
  <si>
    <t xml:space="preserve">⚠ TV/EV above 100% in Base scenario: point estimate illustrative. Use Sensitivity 1 (DCF rows 62-67) and Sensitivity 2 (rows 70-75) as primary output. </t>
  </si>
  <si>
    <t>Scenario Comparison  (Bear, Base, Bull)</t>
  </si>
  <si>
    <t>Metric</t>
  </si>
  <si>
    <t>Terminal growth rate g</t>
  </si>
  <si>
    <t>Implied Share Price ($)</t>
  </si>
  <si>
    <t>Upside / (Downside)</t>
  </si>
  <si>
    <t>PV Explicit FCFs ($M)</t>
  </si>
  <si>
    <t>PV Terminal Value ($M)</t>
  </si>
  <si>
    <t>TV / EV Ratio</t>
  </si>
  <si>
    <t>Revenue FY26E ($M)</t>
  </si>
  <si>
    <t>Adj.EBITDA FY26E ($M)</t>
  </si>
  <si>
    <t>Revenue FY30E ($M)</t>
  </si>
  <si>
    <t>Adj.EBITDA FY30E ($M)</t>
  </si>
  <si>
    <t>Revenue &amp; Adj.EBITDA Trend (Base Scenario)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</si>
  <si>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</si>
  <si>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</si>
  <si>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</si>
  <si>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</si>
  <si>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</si>
  <si>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</si>
  <si>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</si>
  <si>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</si>
  <si>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Adj.EBITDA ($M)</t>
  </si>
  <si>
    <t>Space Revenue ($M)</t>
  </si>
  <si>
    <t>-</t>
  </si>
  <si>
    <t>Connectivity Rev ($M)</t>
  </si>
  <si>
    <t>AI Revenue ($M)</t>
  </si>
  <si>
    <t>Key Model Assumptions (Active Scenario)</t>
  </si>
  <si>
    <t>Blended WACC</t>
  </si>
  <si>
    <t>Exit EV/EBITDA multiple</t>
  </si>
  <si>
    <t>Net debt/(net cash) $M</t>
  </si>
  <si>
    <t>Non-GAAP EBITDA haircut</t>
  </si>
  <si>
    <t>Space PP&amp;E life (yr)</t>
  </si>
  <si>
    <t>Connectivity PP&amp;E life (yr)</t>
  </si>
  <si>
    <t>AI PP&amp;E life (yr)</t>
  </si>
  <si>
    <t>Interest income rate</t>
  </si>
  <si>
    <t>Debt repayment rate p.a.</t>
  </si>
  <si>
    <t>Bonus depr. % of capex</t>
  </si>
  <si>
    <t>Cash tax rate</t>
  </si>
  <si>
    <t>TV method (1=GGM 2=Exit)</t>
  </si>
  <si>
    <t>⚠ TV/EV above 100% in Base scenario only. TV/EV is positive (2.8%) in Bear but EV is still negative. Bull TV/EV = 94.4% (below 100%, explicit period contributes positively). Useful lives corrected: Bull now has longer lives than Bear for Space and Connectivity. Use DCF Sensitivity tables as the primary output, not point estimates.</t>
  </si>
  <si>
    <t>SPCX - DCF Valuation</t>
  </si>
  <si>
    <t>Based on S-1/A Amendment, Current price: $157.54 (As of 1st July 2026)</t>
  </si>
  <si>
    <t>Three-scenario DCF: Bear, Base, Bull</t>
  </si>
  <si>
    <t>SCENARIO COMPARISON (GGM)</t>
  </si>
  <si>
    <t>vs. Current ($157.54)</t>
  </si>
  <si>
    <t>SCENARIO COMPARISON (Exit Multiple Method)</t>
  </si>
  <si>
    <t>KEY ASSUMPTIONS</t>
  </si>
  <si>
    <t>11.7%</t>
  </si>
  <si>
    <t>9.8%</t>
  </si>
  <si>
    <t>8.6%</t>
  </si>
  <si>
    <t>Terminal growth g</t>
  </si>
  <si>
    <t>2.0%</t>
  </si>
  <si>
    <t>2.5%</t>
  </si>
  <si>
    <t>2.9%</t>
  </si>
  <si>
    <t>Exit multiple</t>
  </si>
  <si>
    <t>12.0x</t>
  </si>
  <si>
    <t>18.0x</t>
  </si>
  <si>
    <t>22.0x</t>
  </si>
  <si>
    <t>Space PP&amp;E life</t>
  </si>
  <si>
    <t>15 yr</t>
  </si>
  <si>
    <t>18 yr</t>
  </si>
  <si>
    <t>22 yr</t>
  </si>
  <si>
    <t>Revenue ($M)</t>
  </si>
  <si>
    <t>Adj. EBITDA ($M)</t>
  </si>
  <si>
    <t>EBITDA Margin %</t>
  </si>
  <si>
    <t>UFCF ($M)</t>
  </si>
  <si>
    <t>3.0%</t>
  </si>
  <si>
    <t>8.84%</t>
  </si>
  <si>
    <t>9.84%</t>
  </si>
  <si>
    <t>10.84%</t>
  </si>
  <si>
    <t>Segment</t>
  </si>
  <si>
    <t>FY25A Rev</t>
  </si>
  <si>
    <t>FY30E Rev</t>
  </si>
  <si>
    <t>FY30E EBITDA%</t>
  </si>
  <si>
    <t>Space (Launch)</t>
  </si>
  <si>
    <t>Connectivity (Starlink)</t>
  </si>
  <si>
    <t>AI (xAI/Compute)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</si>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</sst>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%"/>
    <numFmt numFmtId="165" formatCode="0.0"/>
    <numFmt numFmtId="166" formatCode="#,##0.0"/>
    <numFmt numFmtId="167" formatCode="\$#,##0.00"/>
    <numFmt numFmtId="168" formatCode="#,##0.0;\(#,##0.0\);\-"/>
    <numFmt numFmtId="169" formatCode="#,##0.00;\(#,##0.00\);\-"/>
    <numFmt numFmtId="170" formatCode="0.000"/>
    <numFmt numFmtId="171" formatCode="0.0\x"/>
    <numFmt numFmtId="172" formatCode="0.00\x"/>
    <numFmt numFmtId="173" formatCode="0.0\x;&quot;n.m.&quot;"/>
  </numFmts>
  <fonts count="50">
    <font>
      <sz val="11"/>
      <color theme="1"/>
      <name val="Calibri"/>
      <scheme val="minor"/>
    </font>
    <font>
      <b/>
      <sz val="18"/>
      <color rgb="FFFFFFFF"/>
      <name val="Calibri"/>
    </font>
    <font>
      <sz val="11"/>
      <name val="Calibri"/>
    </font>
    <font>
      <sz val="10"/>
      <color rgb="FF000000"/>
      <name val="Calibri"/>
    </font>
    <font>
      <sz val="11"/>
      <color theme="1"/>
      <name val="Calibri"/>
    </font>
    <font>
      <sz val="13"/>
      <color rgb="FFFFFFFF"/>
      <name val="Calibri"/>
    </font>
    <font>
      <sz val="10"/>
      <color rgb="FFD1D5DB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u/>
      <sz val="10"/>
      <color rgb="FF000000"/>
      <name val="Calibri"/>
    </font>
    <font>
      <b/>
      <u/>
      <sz val="10"/>
      <color rgb="FF000000"/>
      <name val="Calibri"/>
    </font>
    <font>
      <b/>
      <sz val="10"/>
      <color rgb="FF0000FF"/>
      <name val="Calibri"/>
    </font>
    <font>
      <b/>
      <sz val="10"/>
      <color rgb="FFE36C09"/>
      <name val="Calibri"/>
    </font>
    <font>
      <i/>
      <sz val="9"/>
      <color rgb="FF808080"/>
      <name val="Calibri"/>
    </font>
    <font>
      <b/>
      <sz val="14"/>
      <color rgb="FFFFFFFF"/>
      <name val="Calibri"/>
    </font>
    <font>
      <sz val="9"/>
      <color rgb="FFFFFFFF"/>
      <name val="Calibri"/>
    </font>
    <font>
      <b/>
      <sz val="11"/>
      <color rgb="FF92400E"/>
      <name val="Calibri"/>
    </font>
    <font>
      <b/>
      <sz val="16"/>
      <color rgb="FF92400E"/>
      <name val="Calibri"/>
    </font>
    <font>
      <b/>
      <sz val="9"/>
      <color rgb="FF92400E"/>
      <name val="Calibri"/>
    </font>
    <font>
      <b/>
      <sz val="9"/>
      <color rgb="FFFFFFFF"/>
      <name val="Calibri"/>
    </font>
    <font>
      <sz val="10"/>
      <color rgb="FFE36C09"/>
      <name val="Calibri"/>
    </font>
    <font>
      <i/>
      <sz val="9"/>
      <color rgb="FF000000"/>
      <name val="Calibri"/>
    </font>
    <font>
      <sz val="10"/>
      <color rgb="FF0000FF"/>
      <name val="Calibri"/>
    </font>
    <font>
      <b/>
      <sz val="14"/>
      <color theme="0"/>
      <name val="Calibri"/>
    </font>
    <font>
      <b/>
      <sz val="14"/>
      <color rgb="FF000000"/>
      <name val="Calibri"/>
    </font>
    <font>
      <b/>
      <sz val="14"/>
      <color theme="1"/>
      <name val="Calibri"/>
    </font>
    <font>
      <sz val="11"/>
      <color theme="0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sz val="11"/>
      <color rgb="FF0000FF"/>
      <name val="Calibri"/>
    </font>
    <font>
      <i/>
      <sz val="9"/>
      <color rgb="FF808080"/>
      <name val="Cambria"/>
    </font>
    <font>
      <sz val="10"/>
      <color rgb="FF00B050"/>
      <name val="Calibri"/>
    </font>
    <font>
      <b/>
      <sz val="11"/>
      <color theme="1"/>
      <name val="Cambria"/>
    </font>
    <font>
      <b/>
      <sz val="10"/>
      <color theme="0"/>
      <name val="Calibri"/>
    </font>
    <font>
      <b/>
      <sz val="9"/>
      <color rgb="FFFF0000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6"/>
      <color rgb="FFFFFFFF"/>
      <name val="Calibri"/>
    </font>
    <font>
      <b/>
      <sz val="20"/>
      <color rgb="FF00B050"/>
      <name val="Calibri"/>
    </font>
    <font>
      <b/>
      <sz val="20"/>
      <color rgb="FF0000FF"/>
      <name val="Calibri"/>
    </font>
    <font>
      <b/>
      <sz val="20"/>
      <color rgb="FFFF0000"/>
      <name val="Calibri"/>
    </font>
    <font>
      <b/>
      <sz val="14"/>
      <color rgb="FFFF0000"/>
      <name val="Calibri"/>
    </font>
    <font>
      <sz val="9"/>
      <color rgb="FFFF0000"/>
      <name val="Calibri"/>
    </font>
    <font>
      <sz val="10"/>
      <color theme="9"/>
      <name val="Calibri"/>
    </font>
    <font>
      <b/>
      <sz val="20"/>
      <color rgb="FFFFFFFF"/>
      <name val="Calibri"/>
    </font>
    <font>
      <sz val="9"/>
      <color rgb="FF9CA3AF"/>
      <name val="Calibri"/>
    </font>
    <font>
      <sz val="10"/>
      <color rgb="FFCBD5E0"/>
      <name val="Calibri"/>
    </font>
    <font>
      <b/>
      <sz val="9"/>
      <color rgb="FF000000"/>
      <name val="Calibri"/>
    </font>
    <font>
      <sz val="9"/>
      <color rgb="FF000000"/>
      <name val="Calibri"/>
    </font>
    <font>
      <b/>
      <sz val="9"/>
      <color theme="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374151"/>
        <bgColor rgb="FF374151"/>
      </patternFill>
    </fill>
    <fill>
      <patternFill patternType="solid">
        <fgColor rgb="FFF9FAFB"/>
        <bgColor rgb="FFF9FAFB"/>
      </patternFill>
    </fill>
    <fill>
      <patternFill patternType="solid">
        <fgColor rgb="FF4B5563"/>
        <bgColor rgb="FF4B5563"/>
      </patternFill>
    </fill>
    <fill>
      <patternFill patternType="solid">
        <fgColor rgb="FFFEF3C7"/>
        <bgColor rgb="FFFEF3C7"/>
      </patternFill>
    </fill>
    <fill>
      <patternFill patternType="solid">
        <fgColor rgb="FFE5E7EB"/>
        <bgColor rgb="FFE5E7EB"/>
      </patternFill>
    </fill>
    <fill>
      <patternFill patternType="solid">
        <fgColor rgb="FFFFF5F5"/>
        <bgColor rgb="FFFFF5F5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  <fill>
      <patternFill patternType="solid">
        <fgColor rgb="FF0F172A"/>
        <bgColor rgb="FF0F172A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991B1B"/>
        <bgColor rgb="FF991B1B"/>
      </patternFill>
    </fill>
    <fill>
      <patternFill patternType="solid">
        <fgColor rgb="FF1E3A5F"/>
        <bgColor rgb="FF1E3A5F"/>
      </patternFill>
    </fill>
    <fill>
      <patternFill patternType="solid">
        <fgColor rgb="FF14532D"/>
        <bgColor rgb="FF14532D"/>
      </patternFill>
    </fill>
    <fill>
      <patternFill patternType="solid">
        <fgColor rgb="FFFEF2F2"/>
        <bgColor rgb="FFFEF2F2"/>
      </patternFill>
    </fill>
    <fill>
      <patternFill patternType="solid">
        <fgColor rgb="FFE8F0FE"/>
        <bgColor rgb="FFE8F0FE"/>
      </patternFill>
    </fill>
    <fill>
      <patternFill patternType="solid">
        <fgColor rgb="FF000000"/>
        <bgColor rgb="FF000000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4" xfId="0" applyFont="1" applyFill="1" applyBorder="1" applyAlignment="1">
      <alignment vertical="center"/>
    </xf>
    <xf numFmtId="0" fontId="3" fillId="2" borderId="4" xfId="0" applyFont="1" applyFill="1" applyBorder="1"/>
    <xf numFmtId="0" fontId="6" fillId="2" borderId="4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3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" fillId="3" borderId="4" xfId="0" applyFont="1" applyFill="1" applyBorder="1"/>
    <xf numFmtId="0" fontId="11" fillId="4" borderId="4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/>
    <xf numFmtId="0" fontId="16" fillId="6" borderId="4" xfId="0" applyFont="1" applyFill="1" applyBorder="1" applyAlignment="1">
      <alignment vertical="center"/>
    </xf>
    <xf numFmtId="0" fontId="17" fillId="6" borderId="4" xfId="0" applyFont="1" applyFill="1" applyBorder="1" applyAlignment="1">
      <alignment horizontal="center" vertical="center"/>
    </xf>
    <xf numFmtId="0" fontId="18" fillId="6" borderId="4" xfId="0" applyFont="1" applyFill="1" applyBorder="1" applyAlignment="1">
      <alignment horizontal="left" vertical="center"/>
    </xf>
    <xf numFmtId="0" fontId="4" fillId="6" borderId="4" xfId="0" applyFont="1" applyFill="1" applyBorder="1"/>
    <xf numFmtId="0" fontId="19" fillId="3" borderId="4" xfId="0" applyFont="1" applyFill="1" applyBorder="1" applyAlignment="1">
      <alignment horizontal="left" vertical="center"/>
    </xf>
    <xf numFmtId="0" fontId="19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0" fontId="4" fillId="2" borderId="4" xfId="0" applyFont="1" applyFill="1" applyBorder="1"/>
    <xf numFmtId="0" fontId="3" fillId="0" borderId="4" xfId="0" applyFont="1" applyBorder="1" applyAlignment="1">
      <alignment vertical="center"/>
    </xf>
    <xf numFmtId="164" fontId="20" fillId="0" borderId="4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vertical="center" wrapText="1"/>
    </xf>
    <xf numFmtId="0" fontId="21" fillId="2" borderId="4" xfId="0" applyFont="1" applyFill="1" applyBorder="1" applyAlignment="1">
      <alignment vertical="center" wrapText="1"/>
    </xf>
    <xf numFmtId="1" fontId="20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" fontId="20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0" fontId="20" fillId="0" borderId="4" xfId="0" applyNumberFormat="1" applyFont="1" applyBorder="1" applyAlignment="1">
      <alignment horizontal="center" vertical="center"/>
    </xf>
    <xf numFmtId="10" fontId="3" fillId="0" borderId="4" xfId="0" applyNumberFormat="1" applyFont="1" applyBorder="1" applyAlignment="1">
      <alignment horizontal="center" vertical="center"/>
    </xf>
    <xf numFmtId="165" fontId="20" fillId="0" borderId="4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" fontId="22" fillId="0" borderId="4" xfId="0" applyNumberFormat="1" applyFont="1" applyBorder="1"/>
    <xf numFmtId="3" fontId="22" fillId="0" borderId="4" xfId="0" applyNumberFormat="1" applyFont="1" applyBorder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166" fontId="22" fillId="0" borderId="4" xfId="0" applyNumberFormat="1" applyFont="1" applyBorder="1" applyAlignment="1">
      <alignment horizontal="center" vertical="center"/>
    </xf>
    <xf numFmtId="167" fontId="22" fillId="0" borderId="4" xfId="0" applyNumberFormat="1" applyFont="1" applyBorder="1" applyAlignment="1">
      <alignment horizontal="center" vertic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168" fontId="22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164" fontId="20" fillId="0" borderId="0" xfId="0" applyNumberFormat="1" applyFont="1"/>
    <xf numFmtId="0" fontId="13" fillId="0" borderId="0" xfId="0" applyFont="1" applyAlignment="1">
      <alignment vertical="top" wrapText="1"/>
    </xf>
    <xf numFmtId="168" fontId="22" fillId="0" borderId="0" xfId="0" applyNumberFormat="1" applyFont="1"/>
    <xf numFmtId="168" fontId="3" fillId="0" borderId="0" xfId="0" applyNumberFormat="1" applyFont="1"/>
    <xf numFmtId="0" fontId="29" fillId="0" borderId="0" xfId="0" applyFont="1"/>
    <xf numFmtId="0" fontId="30" fillId="0" borderId="0" xfId="0" applyFont="1"/>
    <xf numFmtId="164" fontId="3" fillId="0" borderId="0" xfId="0" applyNumberFormat="1" applyFont="1"/>
    <xf numFmtId="168" fontId="20" fillId="0" borderId="0" xfId="0" applyNumberFormat="1" applyFont="1"/>
    <xf numFmtId="169" fontId="22" fillId="0" borderId="0" xfId="0" applyNumberFormat="1" applyFont="1"/>
    <xf numFmtId="169" fontId="3" fillId="0" borderId="0" xfId="0" applyNumberFormat="1" applyFont="1"/>
    <xf numFmtId="4" fontId="20" fillId="0" borderId="0" xfId="0" applyNumberFormat="1" applyFont="1"/>
    <xf numFmtId="164" fontId="20" fillId="0" borderId="0" xfId="0" applyNumberFormat="1" applyFont="1" applyAlignment="1">
      <alignment horizontal="center" vertical="center"/>
    </xf>
    <xf numFmtId="1" fontId="20" fillId="0" borderId="0" xfId="0" applyNumberFormat="1" applyFont="1"/>
    <xf numFmtId="168" fontId="31" fillId="0" borderId="0" xfId="0" applyNumberFormat="1" applyFont="1"/>
    <xf numFmtId="0" fontId="32" fillId="0" borderId="0" xfId="0" applyFont="1" applyAlignment="1">
      <alignment horizontal="right"/>
    </xf>
    <xf numFmtId="1" fontId="22" fillId="0" borderId="0" xfId="0" applyNumberFormat="1" applyFont="1"/>
    <xf numFmtId="2" fontId="20" fillId="0" borderId="0" xfId="0" applyNumberFormat="1" applyFont="1"/>
    <xf numFmtId="170" fontId="3" fillId="0" borderId="0" xfId="0" applyNumberFormat="1" applyFont="1"/>
    <xf numFmtId="0" fontId="34" fillId="0" borderId="0" xfId="0" applyFont="1" applyAlignment="1">
      <alignment vertical="top" wrapText="1"/>
    </xf>
    <xf numFmtId="167" fontId="3" fillId="0" borderId="0" xfId="0" applyNumberFormat="1" applyFont="1"/>
    <xf numFmtId="167" fontId="20" fillId="0" borderId="0" xfId="0" applyNumberFormat="1" applyFont="1"/>
    <xf numFmtId="164" fontId="20" fillId="7" borderId="11" xfId="0" applyNumberFormat="1" applyFont="1" applyFill="1" applyBorder="1"/>
    <xf numFmtId="164" fontId="3" fillId="7" borderId="11" xfId="0" applyNumberFormat="1" applyFont="1" applyFill="1" applyBorder="1"/>
    <xf numFmtId="167" fontId="35" fillId="2" borderId="11" xfId="0" applyNumberFormat="1" applyFont="1" applyFill="1" applyBorder="1"/>
    <xf numFmtId="171" fontId="20" fillId="7" borderId="11" xfId="0" applyNumberFormat="1" applyFont="1" applyFill="1" applyBorder="1"/>
    <xf numFmtId="167" fontId="36" fillId="0" borderId="0" xfId="0" applyNumberFormat="1" applyFont="1"/>
    <xf numFmtId="172" fontId="3" fillId="0" borderId="0" xfId="0" applyNumberFormat="1" applyFont="1"/>
    <xf numFmtId="173" fontId="3" fillId="0" borderId="0" xfId="0" applyNumberFormat="1" applyFont="1"/>
    <xf numFmtId="0" fontId="19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/>
    <xf numFmtId="167" fontId="38" fillId="0" borderId="12" xfId="0" applyNumberFormat="1" applyFont="1" applyBorder="1" applyAlignment="1">
      <alignment horizontal="center" vertical="center"/>
    </xf>
    <xf numFmtId="0" fontId="3" fillId="0" borderId="13" xfId="0" applyFont="1" applyBorder="1"/>
    <xf numFmtId="167" fontId="39" fillId="0" borderId="13" xfId="0" applyNumberFormat="1" applyFont="1" applyBorder="1" applyAlignment="1">
      <alignment horizontal="center" vertical="center"/>
    </xf>
    <xf numFmtId="164" fontId="40" fillId="0" borderId="13" xfId="0" applyNumberFormat="1" applyFont="1" applyBorder="1" applyAlignment="1">
      <alignment horizontal="center" vertical="center"/>
    </xf>
    <xf numFmtId="3" fontId="38" fillId="0" borderId="13" xfId="0" applyNumberFormat="1" applyFont="1" applyBorder="1" applyAlignment="1">
      <alignment horizontal="center" vertical="center"/>
    </xf>
    <xf numFmtId="0" fontId="3" fillId="0" borderId="14" xfId="0" applyFont="1" applyBorder="1"/>
    <xf numFmtId="167" fontId="3" fillId="0" borderId="15" xfId="0" applyNumberFormat="1" applyFont="1" applyBorder="1" applyAlignment="1">
      <alignment vertical="center"/>
    </xf>
    <xf numFmtId="0" fontId="3" fillId="0" borderId="16" xfId="0" applyFont="1" applyBorder="1"/>
    <xf numFmtId="167" fontId="41" fillId="0" borderId="16" xfId="0" applyNumberFormat="1" applyFont="1" applyBorder="1" applyAlignment="1">
      <alignment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center" vertical="center"/>
    </xf>
    <xf numFmtId="164" fontId="3" fillId="8" borderId="4" xfId="0" applyNumberFormat="1" applyFont="1" applyFill="1" applyBorder="1" applyAlignment="1">
      <alignment horizontal="center" vertical="center"/>
    </xf>
    <xf numFmtId="164" fontId="31" fillId="9" borderId="4" xfId="0" applyNumberFormat="1" applyFont="1" applyFill="1" applyBorder="1" applyAlignment="1">
      <alignment horizontal="center" vertical="center"/>
    </xf>
    <xf numFmtId="164" fontId="3" fillId="10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 wrapText="1"/>
    </xf>
    <xf numFmtId="167" fontId="3" fillId="8" borderId="4" xfId="0" applyNumberFormat="1" applyFont="1" applyFill="1" applyBorder="1" applyAlignment="1">
      <alignment horizontal="center" vertical="center"/>
    </xf>
    <xf numFmtId="167" fontId="31" fillId="9" borderId="4" xfId="0" applyNumberFormat="1" applyFont="1" applyFill="1" applyBorder="1" applyAlignment="1">
      <alignment horizontal="center" vertical="center"/>
    </xf>
    <xf numFmtId="167" fontId="3" fillId="10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3" fontId="3" fillId="8" borderId="4" xfId="0" applyNumberFormat="1" applyFont="1" applyFill="1" applyBorder="1" applyAlignment="1">
      <alignment horizontal="center" vertical="center"/>
    </xf>
    <xf numFmtId="3" fontId="31" fillId="9" borderId="4" xfId="0" applyNumberFormat="1" applyFont="1" applyFill="1" applyBorder="1" applyAlignment="1">
      <alignment horizontal="center" vertical="center"/>
    </xf>
    <xf numFmtId="3" fontId="3" fillId="10" borderId="4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/>
    <xf numFmtId="0" fontId="3" fillId="4" borderId="4" xfId="0" applyFont="1" applyFill="1" applyBorder="1"/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64" fontId="4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0" xfId="0" applyFont="1" applyAlignment="1">
      <alignment vertical="center"/>
    </xf>
    <xf numFmtId="171" fontId="43" fillId="0" borderId="0" xfId="0" applyNumberFormat="1" applyFont="1" applyAlignment="1">
      <alignment horizontal="center" vertical="center"/>
    </xf>
    <xf numFmtId="168" fontId="43" fillId="0" borderId="0" xfId="0" applyNumberFormat="1" applyFont="1" applyAlignment="1">
      <alignment horizontal="center" vertical="center"/>
    </xf>
    <xf numFmtId="0" fontId="3" fillId="0" borderId="19" xfId="0" applyFont="1" applyBorder="1" applyAlignment="1">
      <alignment vertical="center"/>
    </xf>
    <xf numFmtId="164" fontId="43" fillId="0" borderId="0" xfId="0" applyNumberFormat="1" applyFont="1" applyAlignment="1">
      <alignment horizontal="center" vertical="center"/>
    </xf>
    <xf numFmtId="1" fontId="43" fillId="0" borderId="0" xfId="0" applyNumberFormat="1" applyFont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164" fontId="43" fillId="0" borderId="16" xfId="0" applyNumberFormat="1" applyFont="1" applyBorder="1" applyAlignment="1">
      <alignment horizontal="center" vertical="center"/>
    </xf>
    <xf numFmtId="1" fontId="4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171" fontId="3" fillId="0" borderId="0" xfId="0" applyNumberFormat="1" applyFont="1"/>
    <xf numFmtId="0" fontId="4" fillId="11" borderId="20" xfId="0" applyFont="1" applyFill="1" applyBorder="1"/>
    <xf numFmtId="0" fontId="4" fillId="11" borderId="24" xfId="0" applyFont="1" applyFill="1" applyBorder="1"/>
    <xf numFmtId="0" fontId="4" fillId="11" borderId="25" xfId="0" applyFont="1" applyFill="1" applyBorder="1"/>
    <xf numFmtId="0" fontId="4" fillId="11" borderId="26" xfId="0" applyFont="1" applyFill="1" applyBorder="1"/>
    <xf numFmtId="0" fontId="4" fillId="12" borderId="25" xfId="0" applyFont="1" applyFill="1" applyBorder="1"/>
    <xf numFmtId="0" fontId="4" fillId="12" borderId="27" xfId="0" applyFont="1" applyFill="1" applyBorder="1"/>
    <xf numFmtId="0" fontId="4" fillId="12" borderId="26" xfId="0" applyFont="1" applyFill="1" applyBorder="1"/>
    <xf numFmtId="0" fontId="4" fillId="12" borderId="28" xfId="0" applyFont="1" applyFill="1" applyBorder="1"/>
    <xf numFmtId="0" fontId="4" fillId="12" borderId="29" xfId="0" applyFont="1" applyFill="1" applyBorder="1"/>
    <xf numFmtId="0" fontId="8" fillId="14" borderId="4" xfId="0" applyFont="1" applyFill="1" applyBorder="1" applyAlignment="1">
      <alignment horizontal="left" vertical="center"/>
    </xf>
    <xf numFmtId="0" fontId="7" fillId="15" borderId="4" xfId="0" applyFont="1" applyFill="1" applyBorder="1" applyAlignment="1">
      <alignment horizontal="center" vertical="center"/>
    </xf>
    <xf numFmtId="0" fontId="7" fillId="16" borderId="4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48" fillId="14" borderId="4" xfId="0" applyFont="1" applyFill="1" applyBorder="1" applyAlignment="1">
      <alignment horizontal="left" vertical="center"/>
    </xf>
    <xf numFmtId="167" fontId="8" fillId="18" borderId="4" xfId="0" applyNumberFormat="1" applyFont="1" applyFill="1" applyBorder="1" applyAlignment="1">
      <alignment horizontal="center" vertical="center"/>
    </xf>
    <xf numFmtId="167" fontId="8" fillId="19" borderId="4" xfId="0" applyNumberFormat="1" applyFont="1" applyFill="1" applyBorder="1" applyAlignment="1">
      <alignment horizontal="center" vertical="center"/>
    </xf>
    <xf numFmtId="167" fontId="8" fillId="9" borderId="4" xfId="0" applyNumberFormat="1" applyFont="1" applyFill="1" applyBorder="1" applyAlignment="1">
      <alignment horizontal="center" vertical="center"/>
    </xf>
    <xf numFmtId="164" fontId="3" fillId="18" borderId="4" xfId="0" applyNumberFormat="1" applyFont="1" applyFill="1" applyBorder="1" applyAlignment="1">
      <alignment horizontal="center" vertical="center"/>
    </xf>
    <xf numFmtId="164" fontId="3" fillId="19" borderId="4" xfId="0" applyNumberFormat="1" applyFont="1" applyFill="1" applyBorder="1" applyAlignment="1">
      <alignment horizontal="center" vertical="center"/>
    </xf>
    <xf numFmtId="10" fontId="3" fillId="9" borderId="4" xfId="0" applyNumberFormat="1" applyFont="1" applyFill="1" applyBorder="1" applyAlignment="1">
      <alignment horizontal="center" vertical="center"/>
    </xf>
    <xf numFmtId="3" fontId="3" fillId="18" borderId="4" xfId="0" applyNumberFormat="1" applyFont="1" applyFill="1" applyBorder="1" applyAlignment="1">
      <alignment horizontal="center" vertical="center"/>
    </xf>
    <xf numFmtId="3" fontId="3" fillId="19" borderId="4" xfId="0" applyNumberFormat="1" applyFont="1" applyFill="1" applyBorder="1" applyAlignment="1">
      <alignment horizontal="center" vertical="center"/>
    </xf>
    <xf numFmtId="3" fontId="3" fillId="9" borderId="4" xfId="0" applyNumberFormat="1" applyFont="1" applyFill="1" applyBorder="1" applyAlignment="1">
      <alignment horizontal="center" vertical="center"/>
    </xf>
    <xf numFmtId="164" fontId="3" fillId="9" borderId="4" xfId="0" applyNumberFormat="1" applyFont="1" applyFill="1" applyBorder="1" applyAlignment="1">
      <alignment horizontal="center" vertical="center"/>
    </xf>
    <xf numFmtId="10" fontId="3" fillId="18" borderId="4" xfId="0" applyNumberFormat="1" applyFont="1" applyFill="1" applyBorder="1" applyAlignment="1">
      <alignment horizontal="center" vertical="center"/>
    </xf>
    <xf numFmtId="0" fontId="48" fillId="18" borderId="4" xfId="0" applyFont="1" applyFill="1" applyBorder="1" applyAlignment="1">
      <alignment horizontal="center" vertical="center"/>
    </xf>
    <xf numFmtId="0" fontId="48" fillId="19" borderId="4" xfId="0" applyFont="1" applyFill="1" applyBorder="1" applyAlignment="1">
      <alignment horizontal="center" vertical="center"/>
    </xf>
    <xf numFmtId="0" fontId="48" fillId="9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3" fontId="48" fillId="0" borderId="4" xfId="0" applyNumberFormat="1" applyFont="1" applyBorder="1" applyAlignment="1">
      <alignment horizontal="center" vertical="center"/>
    </xf>
    <xf numFmtId="164" fontId="48" fillId="0" borderId="4" xfId="0" applyNumberFormat="1" applyFont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49" fillId="2" borderId="4" xfId="0" applyFont="1" applyFill="1" applyBorder="1" applyAlignment="1">
      <alignment horizontal="center" vertical="center"/>
    </xf>
    <xf numFmtId="167" fontId="48" fillId="0" borderId="4" xfId="0" applyNumberFormat="1" applyFont="1" applyBorder="1" applyAlignment="1">
      <alignment horizontal="center" vertical="center"/>
    </xf>
    <xf numFmtId="167" fontId="19" fillId="20" borderId="4" xfId="0" applyNumberFormat="1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3" fontId="48" fillId="14" borderId="4" xfId="0" applyNumberFormat="1" applyFont="1" applyFill="1" applyBorder="1" applyAlignment="1">
      <alignment horizontal="center" vertical="center"/>
    </xf>
    <xf numFmtId="164" fontId="48" fillId="14" borderId="4" xfId="0" applyNumberFormat="1" applyFont="1" applyFill="1" applyBorder="1" applyAlignment="1">
      <alignment horizontal="center" vertical="center"/>
    </xf>
    <xf numFmtId="0" fontId="47" fillId="13" borderId="4" xfId="0" applyFont="1" applyFill="1" applyBorder="1" applyAlignment="1">
      <alignment horizontal="left" vertical="center"/>
    </xf>
    <xf numFmtId="3" fontId="47" fillId="13" borderId="4" xfId="0" applyNumberFormat="1" applyFont="1" applyFill="1" applyBorder="1" applyAlignment="1">
      <alignment horizontal="center" vertical="center"/>
    </xf>
    <xf numFmtId="164" fontId="47" fillId="13" borderId="4" xfId="0" applyNumberFormat="1" applyFont="1" applyFill="1" applyBorder="1" applyAlignment="1">
      <alignment horizontal="center" vertical="center"/>
    </xf>
    <xf numFmtId="0" fontId="4" fillId="12" borderId="30" xfId="0" applyFont="1" applyFill="1" applyBorder="1"/>
    <xf numFmtId="0" fontId="4" fillId="12" borderId="31" xfId="0" applyFont="1" applyFill="1" applyBorder="1"/>
    <xf numFmtId="0" fontId="4" fillId="12" borderId="32" xfId="0" applyFont="1" applyFill="1" applyBorder="1"/>
    <xf numFmtId="0" fontId="3" fillId="0" borderId="1" xfId="0" applyFont="1" applyBorder="1" applyAlignment="1">
      <alignment vertical="center"/>
    </xf>
    <xf numFmtId="0" fontId="2" fillId="0" borderId="3" xfId="0" applyFont="1" applyBorder="1"/>
    <xf numFmtId="0" fontId="3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0" borderId="1" xfId="0" applyFont="1" applyBorder="1"/>
    <xf numFmtId="0" fontId="7" fillId="3" borderId="1" xfId="0" applyFont="1" applyFill="1" applyBorder="1" applyAlignment="1">
      <alignment vertical="center"/>
    </xf>
    <xf numFmtId="0" fontId="21" fillId="0" borderId="5" xfId="0" applyFont="1" applyBorder="1" applyAlignment="1">
      <alignment vertical="center" wrapText="1"/>
    </xf>
    <xf numFmtId="0" fontId="2" fillId="0" borderId="6" xfId="0" applyFont="1" applyBorder="1"/>
    <xf numFmtId="0" fontId="2" fillId="0" borderId="7" xfId="0" applyFont="1" applyBorder="1"/>
    <xf numFmtId="0" fontId="14" fillId="2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/>
    </xf>
    <xf numFmtId="0" fontId="28" fillId="2" borderId="1" xfId="0" applyFont="1" applyFill="1" applyBorder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0" fillId="0" borderId="0" xfId="0"/>
    <xf numFmtId="0" fontId="7" fillId="2" borderId="8" xfId="0" applyFont="1" applyFill="1" applyBorder="1"/>
    <xf numFmtId="0" fontId="2" fillId="0" borderId="9" xfId="0" applyFont="1" applyBorder="1"/>
    <xf numFmtId="0" fontId="2" fillId="0" borderId="10" xfId="0" applyFont="1" applyBorder="1"/>
    <xf numFmtId="0" fontId="13" fillId="0" borderId="0" xfId="0" applyFont="1"/>
    <xf numFmtId="0" fontId="23" fillId="2" borderId="8" xfId="0" applyFont="1" applyFill="1" applyBorder="1" applyAlignment="1">
      <alignment horizontal="center" vertical="center" wrapText="1"/>
    </xf>
    <xf numFmtId="0" fontId="33" fillId="2" borderId="8" xfId="0" applyFont="1" applyFill="1" applyBorder="1"/>
    <xf numFmtId="0" fontId="3" fillId="0" borderId="5" xfId="0" applyFont="1" applyBorder="1"/>
    <xf numFmtId="0" fontId="3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7" fillId="2" borderId="1" xfId="0" applyFont="1" applyFill="1" applyBorder="1" applyAlignment="1">
      <alignment vertical="center"/>
    </xf>
    <xf numFmtId="0" fontId="7" fillId="2" borderId="12" xfId="0" applyFont="1" applyFill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37" fillId="2" borderId="1" xfId="0" applyFont="1" applyFill="1" applyBorder="1" applyAlignment="1">
      <alignment horizontal="center" vertical="center"/>
    </xf>
    <xf numFmtId="0" fontId="3" fillId="0" borderId="13" xfId="0" applyFont="1" applyBorder="1"/>
    <xf numFmtId="0" fontId="42" fillId="0" borderId="16" xfId="0" applyFont="1" applyBorder="1" applyAlignment="1">
      <alignment vertical="center" wrapText="1"/>
    </xf>
    <xf numFmtId="0" fontId="7" fillId="2" borderId="15" xfId="0" applyFont="1" applyFill="1" applyBorder="1" applyAlignment="1">
      <alignment vertical="center"/>
    </xf>
    <xf numFmtId="0" fontId="3" fillId="3" borderId="1" xfId="0" applyFont="1" applyFill="1" applyBorder="1"/>
    <xf numFmtId="0" fontId="47" fillId="13" borderId="1" xfId="0" applyFont="1" applyFill="1" applyBorder="1" applyAlignment="1">
      <alignment horizontal="left" vertical="center"/>
    </xf>
    <xf numFmtId="0" fontId="44" fillId="11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45" fillId="11" borderId="8" xfId="0" applyFont="1" applyFill="1" applyBorder="1" applyAlignment="1">
      <alignment vertical="center"/>
    </xf>
    <xf numFmtId="0" fontId="46" fillId="11" borderId="8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rgbClr val="757575"/>
                </a:solidFill>
                <a:latin typeface="Calibri"/>
              </a:defRPr>
            </a:pPr>
            <a:r>
              <a:rPr lang="en-IN" sz="1800" b="0" i="0">
                <a:solidFill>
                  <a:srgbClr val="757575"/>
                </a:solidFill>
                <a:latin typeface="Calibri"/>
              </a:rPr>
              <a:t>Total Revenue ($M) vs. Years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Dashboard!$D$22:$I$22</c:f>
              <c:strCache>
                <c:ptCount val="6"/>
                <c:pt idx="0">
                  <c:v>FY25A</c:v>
                </c:pt>
                <c:pt idx="1">
                  <c:v>FY26E</c:v>
                </c:pt>
                <c:pt idx="2">
                  <c:v>FY27E</c:v>
                </c:pt>
                <c:pt idx="3">
                  <c:v>FY28E</c:v>
                </c:pt>
                <c:pt idx="4">
                  <c:v>FY29E</c:v>
                </c:pt>
                <c:pt idx="5">
                  <c:v>FY30E</c:v>
                </c:pt>
              </c:strCache>
            </c:strRef>
          </c:cat>
          <c:val>
            <c:numRef>
              <c:f>Dashboard!$D$23:$I$23</c:f>
              <c:numCache>
                <c:formatCode>#,##0</c:formatCode>
                <c:ptCount val="6"/>
                <c:pt idx="0">
                  <c:v>18674</c:v>
                </c:pt>
                <c:pt idx="1">
                  <c:v>25227.030000000002</c:v>
                </c:pt>
                <c:pt idx="2">
                  <c:v>33432.92295</c:v>
                </c:pt>
                <c:pt idx="3">
                  <c:v>43013.355026249999</c:v>
                </c:pt>
                <c:pt idx="4">
                  <c:v>53210.420257340622</c:v>
                </c:pt>
                <c:pt idx="5">
                  <c:v>62751.900049459786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9E-4678-B54C-0B5BA1A3E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093683"/>
        <c:axId val="880046215"/>
      </c:barChart>
      <c:catAx>
        <c:axId val="1180936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Years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0046215"/>
        <c:crosses val="autoZero"/>
        <c:auto val="1"/>
        <c:lblAlgn val="ctr"/>
        <c:lblOffset val="100"/>
        <c:noMultiLvlLbl val="1"/>
      </c:catAx>
      <c:valAx>
        <c:axId val="880046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Total Revenue ($M)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1809368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0" i="0">
                <a:solidFill>
                  <a:srgbClr val="757575"/>
                </a:solidFill>
                <a:latin typeface="Calibri"/>
              </a:defRPr>
            </a:pPr>
            <a:r>
              <a:rPr lang="en-IN" sz="1800" b="0" i="0">
                <a:solidFill>
                  <a:srgbClr val="757575"/>
                </a:solidFill>
                <a:latin typeface="Calibri"/>
              </a:rPr>
              <a:t>Total Revenue ($M), Adj.EBITDA ($M), Space Revenue ($M), Connectivity Rev ($M) and AI Revenue ($M)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Total Revenue ($M)</c:v>
          </c:tx>
          <c:spPr>
            <a:solidFill>
              <a:srgbClr val="4F81BD"/>
            </a:solidFill>
            <a:ln cmpd="sng">
              <a:noFill/>
            </a:ln>
          </c:spPr>
          <c:invertIfNegative val="1"/>
          <c:cat>
            <c:strRef>
              <c:f>Dashboard!$B$22:$I$22</c:f>
              <c:strCache>
                <c:ptCount val="8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Dashboard!$B$23:$I$23</c:f>
              <c:numCache>
                <c:formatCode>#,##0</c:formatCode>
                <c:ptCount val="8"/>
                <c:pt idx="0">
                  <c:v>10387</c:v>
                </c:pt>
                <c:pt idx="1">
                  <c:v>14015</c:v>
                </c:pt>
                <c:pt idx="2">
                  <c:v>18674</c:v>
                </c:pt>
                <c:pt idx="3">
                  <c:v>25227.030000000002</c:v>
                </c:pt>
                <c:pt idx="4">
                  <c:v>33432.92295</c:v>
                </c:pt>
                <c:pt idx="5">
                  <c:v>43013.355026249999</c:v>
                </c:pt>
                <c:pt idx="6">
                  <c:v>53210.420257340622</c:v>
                </c:pt>
                <c:pt idx="7">
                  <c:v>62751.900049459786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FC0-4BF7-B89E-9E52DBD7DE99}"/>
            </c:ext>
          </c:extLst>
        </c:ser>
        <c:ser>
          <c:idx val="1"/>
          <c:order val="1"/>
          <c:tx>
            <c:v>Adj.EBITDA ($M)</c:v>
          </c:tx>
          <c:spPr>
            <a:solidFill>
              <a:srgbClr val="C0504D"/>
            </a:solidFill>
            <a:ln cmpd="sng">
              <a:noFill/>
            </a:ln>
          </c:spPr>
          <c:invertIfNegative val="1"/>
          <c:cat>
            <c:strRef>
              <c:f>Dashboard!$B$22:$I$22</c:f>
              <c:strCache>
                <c:ptCount val="8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Dashboard!$B$24:$I$24</c:f>
              <c:numCache>
                <c:formatCode>#,##0</c:formatCode>
                <c:ptCount val="8"/>
                <c:pt idx="0">
                  <c:v>3821</c:v>
                </c:pt>
                <c:pt idx="1">
                  <c:v>5350</c:v>
                </c:pt>
                <c:pt idx="2">
                  <c:v>6584</c:v>
                </c:pt>
                <c:pt idx="3">
                  <c:v>9353.4594720000023</c:v>
                </c:pt>
                <c:pt idx="4">
                  <c:v>12971.850354120001</c:v>
                </c:pt>
                <c:pt idx="5">
                  <c:v>17745.599808321</c:v>
                </c:pt>
                <c:pt idx="6">
                  <c:v>23699.65117673685</c:v>
                </c:pt>
                <c:pt idx="7">
                  <c:v>30474.576538145833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FC0-4BF7-B89E-9E52DBD7DE99}"/>
            </c:ext>
          </c:extLst>
        </c:ser>
        <c:ser>
          <c:idx val="2"/>
          <c:order val="2"/>
          <c:tx>
            <c:v>Space Revenue ($M)</c:v>
          </c:tx>
          <c:spPr>
            <a:solidFill>
              <a:srgbClr val="9BBB59"/>
            </a:solidFill>
            <a:ln cmpd="sng">
              <a:noFill/>
            </a:ln>
          </c:spPr>
          <c:invertIfNegative val="1"/>
          <c:cat>
            <c:strRef>
              <c:f>Dashboard!$B$22:$I$22</c:f>
              <c:strCache>
                <c:ptCount val="8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Dashboard!$B$25:$I$25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#,##0">
                  <c:v>4086</c:v>
                </c:pt>
                <c:pt idx="3" formatCode="#,##0">
                  <c:v>4412.88</c:v>
                </c:pt>
                <c:pt idx="4" formatCode="#,##0">
                  <c:v>4810.0392000000002</c:v>
                </c:pt>
                <c:pt idx="5" formatCode="#,##0">
                  <c:v>5291.0431200000003</c:v>
                </c:pt>
                <c:pt idx="6" formatCode="#,##0">
                  <c:v>5873.0578632000006</c:v>
                </c:pt>
                <c:pt idx="7" formatCode="#,##0">
                  <c:v>6577.8248067840013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FC0-4BF7-B89E-9E52DBD7DE99}"/>
            </c:ext>
          </c:extLst>
        </c:ser>
        <c:ser>
          <c:idx val="3"/>
          <c:order val="3"/>
          <c:tx>
            <c:v>Connectivity Rev ($M)</c:v>
          </c:tx>
          <c:spPr>
            <a:solidFill>
              <a:srgbClr val="8064A2"/>
            </a:solidFill>
            <a:ln cmpd="sng">
              <a:noFill/>
            </a:ln>
          </c:spPr>
          <c:invertIfNegative val="1"/>
          <c:cat>
            <c:strRef>
              <c:f>Dashboard!$B$22:$I$22</c:f>
              <c:strCache>
                <c:ptCount val="8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Dashboard!$B$26:$I$26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#,##0">
                  <c:v>11387</c:v>
                </c:pt>
                <c:pt idx="3" formatCode="#,##0">
                  <c:v>15372.45</c:v>
                </c:pt>
                <c:pt idx="4" formatCode="#,##0">
                  <c:v>19984.185000000001</c:v>
                </c:pt>
                <c:pt idx="5" formatCode="#,##0">
                  <c:v>24980.231250000001</c:v>
                </c:pt>
                <c:pt idx="6" formatCode="#,##0">
                  <c:v>29976.2775</c:v>
                </c:pt>
                <c:pt idx="7" formatCode="#,##0">
                  <c:v>34472.719124999996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FC0-4BF7-B89E-9E52DBD7DE99}"/>
            </c:ext>
          </c:extLst>
        </c:ser>
        <c:ser>
          <c:idx val="4"/>
          <c:order val="4"/>
          <c:tx>
            <c:v>AI Revenue ($M)</c:v>
          </c:tx>
          <c:spPr>
            <a:solidFill>
              <a:srgbClr val="4BACC6"/>
            </a:solidFill>
            <a:ln cmpd="sng">
              <a:noFill/>
            </a:ln>
          </c:spPr>
          <c:invertIfNegative val="1"/>
          <c:cat>
            <c:strRef>
              <c:f>Dashboard!$B$22:$I$22</c:f>
              <c:strCache>
                <c:ptCount val="8"/>
                <c:pt idx="0">
                  <c:v>FY23A</c:v>
                </c:pt>
                <c:pt idx="1">
                  <c:v>FY24A</c:v>
                </c:pt>
                <c:pt idx="2">
                  <c:v>FY25A</c:v>
                </c:pt>
                <c:pt idx="3">
                  <c:v>FY26E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</c:strCache>
            </c:strRef>
          </c:cat>
          <c:val>
            <c:numRef>
              <c:f>Dashboard!$B$27:$I$27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 formatCode="#,##0">
                  <c:v>3201</c:v>
                </c:pt>
                <c:pt idx="3" formatCode="#,##0">
                  <c:v>5441.7</c:v>
                </c:pt>
                <c:pt idx="4" formatCode="#,##0">
                  <c:v>8638.6987499999996</c:v>
                </c:pt>
                <c:pt idx="5" formatCode="#,##0">
                  <c:v>12742.08065625</c:v>
                </c:pt>
                <c:pt idx="6" formatCode="#,##0">
                  <c:v>17361.084894140626</c:v>
                </c:pt>
                <c:pt idx="7" formatCode="#,##0">
                  <c:v>21701.356117675783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4FC0-4BF7-B89E-9E52DBD7D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28668"/>
        <c:axId val="1876134148"/>
      </c:barChart>
      <c:catAx>
        <c:axId val="1231286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Metric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76134148"/>
        <c:crosses val="autoZero"/>
        <c:auto val="1"/>
        <c:lblAlgn val="ctr"/>
        <c:lblOffset val="100"/>
        <c:noMultiLvlLbl val="1"/>
      </c:catAx>
      <c:valAx>
        <c:axId val="1876134148"/>
        <c:scaling>
          <c:orientation val="minMax"/>
          <c:max val="700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None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31286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37</xdr:row>
      <xdr:rowOff>0</xdr:rowOff>
    </xdr:from>
    <xdr:ext cx="5934075" cy="33623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981075</xdr:colOff>
      <xdr:row>37</xdr:row>
      <xdr:rowOff>0</xdr:rowOff>
    </xdr:from>
    <xdr:ext cx="6962775" cy="33623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pcx_dcf_model.xlsx/" TargetMode="External"/><Relationship Id="rId1" Type="http://schemas.openxmlformats.org/officeDocument/2006/relationships/hyperlink" Target="http://spcx_dcf_model.xlsx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8"/>
  <sheetViews>
    <sheetView showGridLines="0" tabSelected="1" workbookViewId="0">
      <selection sqref="A1:C1"/>
    </sheetView>
  </sheetViews>
  <sheetFormatPr defaultColWidth="14.44140625" defaultRowHeight="15" customHeight="1"/>
  <cols>
    <col min="1" max="1" width="28" customWidth="1"/>
    <col min="2" max="2" width="58" customWidth="1"/>
    <col min="3" max="3" width="12.109375" customWidth="1"/>
    <col min="4" max="6" width="8.6640625" customWidth="1"/>
  </cols>
  <sheetData>
    <row r="1" spans="1:25" ht="39.75" customHeight="1">
      <c r="A1" s="175" t="s">
        <v>0</v>
      </c>
      <c r="B1" s="176"/>
      <c r="C1" s="173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4" customHeight="1">
      <c r="A2" s="3" t="s">
        <v>1</v>
      </c>
      <c r="B2" s="4"/>
      <c r="C2" s="4"/>
      <c r="D2" s="1"/>
      <c r="E2" s="1"/>
      <c r="F2" s="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9.5" customHeight="1">
      <c r="A3" s="5" t="s">
        <v>2</v>
      </c>
      <c r="B3" s="4"/>
      <c r="C3" s="4"/>
      <c r="D3" s="1"/>
      <c r="E3" s="1"/>
      <c r="F3" s="1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7.5" customHeight="1">
      <c r="A4" s="6"/>
      <c r="B4" s="6"/>
      <c r="C4" s="6"/>
      <c r="D4" s="7"/>
      <c r="E4" s="7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" customHeight="1">
      <c r="A5" s="177"/>
      <c r="B5" s="176"/>
      <c r="C5" s="173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8" customHeight="1">
      <c r="A6" s="8" t="s">
        <v>3</v>
      </c>
      <c r="B6" s="178" t="s">
        <v>4</v>
      </c>
      <c r="C6" s="173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8" customHeight="1">
      <c r="A7" s="9" t="s">
        <v>5</v>
      </c>
      <c r="B7" s="172" t="s">
        <v>6</v>
      </c>
      <c r="C7" s="173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 customHeight="1">
      <c r="A8" s="10" t="s">
        <v>7</v>
      </c>
      <c r="B8" s="174" t="s">
        <v>8</v>
      </c>
      <c r="C8" s="173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 customHeight="1">
      <c r="A9" s="9" t="s">
        <v>9</v>
      </c>
      <c r="B9" s="172" t="s">
        <v>10</v>
      </c>
      <c r="C9" s="173"/>
      <c r="D9" s="1"/>
      <c r="E9" s="1"/>
      <c r="F9" s="1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 customHeight="1">
      <c r="A10" s="10" t="s">
        <v>11</v>
      </c>
      <c r="B10" s="174" t="s">
        <v>12</v>
      </c>
      <c r="C10" s="173"/>
      <c r="D10" s="1"/>
      <c r="E10" s="1"/>
      <c r="F10" s="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 customHeight="1">
      <c r="A11" s="9" t="s">
        <v>13</v>
      </c>
      <c r="B11" s="172" t="s">
        <v>14</v>
      </c>
      <c r="C11" s="173"/>
      <c r="D11" s="1"/>
      <c r="E11" s="1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 customHeight="1">
      <c r="A12" s="10" t="s">
        <v>15</v>
      </c>
      <c r="B12" s="174" t="s">
        <v>16</v>
      </c>
      <c r="C12" s="173"/>
      <c r="D12" s="1"/>
      <c r="E12" s="1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 customHeight="1">
      <c r="A13" s="9" t="s">
        <v>17</v>
      </c>
      <c r="B13" s="172" t="s">
        <v>18</v>
      </c>
      <c r="C13" s="173"/>
      <c r="D13" s="1"/>
      <c r="E13" s="1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customHeight="1">
      <c r="A14" s="11" t="s">
        <v>19</v>
      </c>
      <c r="B14" s="174" t="s">
        <v>20</v>
      </c>
      <c r="C14" s="173"/>
      <c r="D14" s="1"/>
      <c r="E14" s="1"/>
      <c r="F14" s="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 customHeight="1">
      <c r="A15" s="12" t="s">
        <v>21</v>
      </c>
      <c r="B15" s="172" t="s">
        <v>22</v>
      </c>
      <c r="C15" s="173"/>
      <c r="D15" s="1"/>
      <c r="E15" s="1"/>
      <c r="F15" s="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9.5" customHeight="1">
      <c r="A16" s="8" t="s">
        <v>23</v>
      </c>
      <c r="B16" s="13"/>
      <c r="C16" s="13"/>
      <c r="D16" s="1"/>
      <c r="E16" s="1"/>
      <c r="F16" s="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6.5" customHeight="1">
      <c r="A17" s="14" t="s">
        <v>24</v>
      </c>
      <c r="B17" s="174" t="s">
        <v>25</v>
      </c>
      <c r="C17" s="173"/>
      <c r="D17" s="1"/>
      <c r="E17" s="1"/>
      <c r="F17" s="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6.5" customHeight="1">
      <c r="A18" s="15" t="s">
        <v>26</v>
      </c>
      <c r="B18" s="172" t="s">
        <v>27</v>
      </c>
      <c r="C18" s="173"/>
      <c r="D18" s="1"/>
      <c r="E18" s="1"/>
      <c r="F18" s="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6.5" customHeight="1">
      <c r="A19" s="10" t="s">
        <v>28</v>
      </c>
      <c r="B19" s="174" t="s">
        <v>29</v>
      </c>
      <c r="C19" s="173"/>
      <c r="D19" s="1"/>
      <c r="E19" s="1"/>
      <c r="F19" s="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>
      <c r="A20" s="1"/>
      <c r="B20" s="1"/>
      <c r="C20" s="1"/>
      <c r="D20" s="1"/>
      <c r="E20" s="1"/>
      <c r="F20" s="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" customHeight="1">
      <c r="A21" s="16"/>
      <c r="B21" s="1"/>
      <c r="C21" s="1"/>
      <c r="D21" s="1"/>
      <c r="E21" s="1"/>
      <c r="F21" s="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"/>
      <c r="B22" s="1"/>
      <c r="C22" s="1"/>
      <c r="D22" s="1"/>
      <c r="E22" s="1"/>
      <c r="F22" s="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"/>
      <c r="B23" s="1"/>
      <c r="C23" s="1"/>
      <c r="D23" s="1"/>
      <c r="E23" s="1"/>
      <c r="F23" s="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"/>
      <c r="B24" s="1"/>
      <c r="C24" s="1"/>
      <c r="D24" s="1"/>
      <c r="E24" s="1"/>
      <c r="F24" s="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"/>
      <c r="B25" s="1"/>
      <c r="C25" s="1"/>
      <c r="D25" s="1"/>
      <c r="E25" s="1"/>
      <c r="F25" s="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</row>
    <row r="221" spans="1:25" ht="15.75" customHeight="1">
      <c r="A221" s="2"/>
      <c r="B221" s="2"/>
      <c r="C221" s="2"/>
      <c r="D221" s="2"/>
      <c r="E221" s="2"/>
      <c r="F221" s="2"/>
    </row>
    <row r="222" spans="1:25" ht="15.75" customHeight="1">
      <c r="A222" s="2"/>
      <c r="B222" s="2"/>
      <c r="C222" s="2"/>
      <c r="D222" s="2"/>
      <c r="E222" s="2"/>
      <c r="F222" s="2"/>
    </row>
    <row r="223" spans="1:25" ht="15.75" customHeight="1">
      <c r="A223" s="2"/>
      <c r="B223" s="2"/>
      <c r="C223" s="2"/>
      <c r="D223" s="2"/>
      <c r="E223" s="2"/>
      <c r="F223" s="2"/>
    </row>
    <row r="224" spans="1:25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</sheetData>
  <mergeCells count="15">
    <mergeCell ref="B17:C17"/>
    <mergeCell ref="B18:C18"/>
    <mergeCell ref="B19:C19"/>
    <mergeCell ref="A1:C1"/>
    <mergeCell ref="A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hyperlinks>
    <hyperlink ref="A14" r:id="rId1" location="'Control'!A1" xr:uid="{00000000-0004-0000-0000-000000000000}"/>
    <hyperlink ref="A15" r:id="rId2" location="'Input'!A1" xr:uid="{00000000-0004-0000-0000-000001000000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999"/>
  <sheetViews>
    <sheetView workbookViewId="0"/>
  </sheetViews>
  <sheetFormatPr defaultColWidth="14.44140625" defaultRowHeight="15" customHeight="1"/>
  <cols>
    <col min="1" max="1" width="47.5546875" customWidth="1"/>
    <col min="2" max="4" width="11" customWidth="1"/>
    <col min="5" max="5" width="13" customWidth="1"/>
    <col min="6" max="6" width="62" customWidth="1"/>
  </cols>
  <sheetData>
    <row r="1" spans="1:24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3.75" customHeight="1">
      <c r="A2" s="182" t="s">
        <v>30</v>
      </c>
      <c r="B2" s="176"/>
      <c r="C2" s="176"/>
      <c r="D2" s="176"/>
      <c r="E2" s="176"/>
      <c r="F2" s="17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8" customHeight="1">
      <c r="A3" s="183" t="s">
        <v>31</v>
      </c>
      <c r="B3" s="176"/>
      <c r="C3" s="176"/>
      <c r="D3" s="176"/>
      <c r="E3" s="176"/>
      <c r="F3" s="17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25.5" customHeight="1">
      <c r="A4" s="17" t="s">
        <v>32</v>
      </c>
      <c r="B4" s="18">
        <v>2</v>
      </c>
      <c r="C4" s="19" t="s">
        <v>33</v>
      </c>
      <c r="D4" s="20"/>
      <c r="E4" s="20"/>
      <c r="F4" s="2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21.75" customHeight="1">
      <c r="A5" s="21" t="s">
        <v>34</v>
      </c>
      <c r="B5" s="22" t="s">
        <v>35</v>
      </c>
      <c r="C5" s="22" t="s">
        <v>36</v>
      </c>
      <c r="D5" s="22" t="s">
        <v>37</v>
      </c>
      <c r="E5" s="22" t="s">
        <v>38</v>
      </c>
      <c r="F5" s="22" t="s">
        <v>39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18" customHeight="1">
      <c r="A6" s="23" t="s">
        <v>40</v>
      </c>
      <c r="B6" s="24"/>
      <c r="C6" s="24"/>
      <c r="D6" s="24"/>
      <c r="E6" s="24"/>
      <c r="F6" s="2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41.25" customHeight="1">
      <c r="A7" s="25" t="s">
        <v>41</v>
      </c>
      <c r="B7" s="26">
        <v>0</v>
      </c>
      <c r="C7" s="26">
        <v>0.08</v>
      </c>
      <c r="D7" s="26">
        <v>0.15</v>
      </c>
      <c r="E7" s="27">
        <f t="shared" ref="E7:E12" si="0">CHOOSE($B$4,B7,C7,D7)</f>
        <v>0.08</v>
      </c>
      <c r="F7" s="28" t="s">
        <v>42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39" customHeight="1">
      <c r="A8" s="25" t="s">
        <v>43</v>
      </c>
      <c r="B8" s="26">
        <v>0.05</v>
      </c>
      <c r="C8" s="26">
        <v>0.12</v>
      </c>
      <c r="D8" s="26">
        <v>0.2</v>
      </c>
      <c r="E8" s="27">
        <f t="shared" si="0"/>
        <v>0.12</v>
      </c>
      <c r="F8" s="28" t="s">
        <v>44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8.25" customHeight="1">
      <c r="A9" s="25" t="s">
        <v>45</v>
      </c>
      <c r="B9" s="26">
        <v>0.2</v>
      </c>
      <c r="C9" s="26">
        <v>0.35</v>
      </c>
      <c r="D9" s="26">
        <v>0.45</v>
      </c>
      <c r="E9" s="27">
        <f t="shared" si="0"/>
        <v>0.35</v>
      </c>
      <c r="F9" s="28" t="s">
        <v>46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30" customHeight="1">
      <c r="A10" s="25" t="s">
        <v>47</v>
      </c>
      <c r="B10" s="26">
        <v>0.08</v>
      </c>
      <c r="C10" s="26">
        <v>0.15</v>
      </c>
      <c r="D10" s="26">
        <v>0.22</v>
      </c>
      <c r="E10" s="27">
        <f t="shared" si="0"/>
        <v>0.15</v>
      </c>
      <c r="F10" s="28" t="s">
        <v>48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37.5" customHeight="1">
      <c r="A11" s="25" t="s">
        <v>49</v>
      </c>
      <c r="B11" s="26">
        <v>0.45</v>
      </c>
      <c r="C11" s="26">
        <v>0.7</v>
      </c>
      <c r="D11" s="26">
        <v>0.85</v>
      </c>
      <c r="E11" s="27">
        <f t="shared" si="0"/>
        <v>0.7</v>
      </c>
      <c r="F11" s="28" t="s">
        <v>50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37.5" customHeight="1">
      <c r="A12" s="25" t="s">
        <v>51</v>
      </c>
      <c r="B12" s="26">
        <v>0.12</v>
      </c>
      <c r="C12" s="26">
        <v>0.25</v>
      </c>
      <c r="D12" s="26">
        <v>0.35</v>
      </c>
      <c r="E12" s="27">
        <f t="shared" si="0"/>
        <v>0.25</v>
      </c>
      <c r="F12" s="28" t="s">
        <v>52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8" customHeight="1">
      <c r="A13" s="23" t="s">
        <v>53</v>
      </c>
      <c r="B13" s="24"/>
      <c r="C13" s="24"/>
      <c r="D13" s="24"/>
      <c r="E13" s="24"/>
      <c r="F13" s="29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0" customHeight="1">
      <c r="A14" s="25" t="s">
        <v>54</v>
      </c>
      <c r="B14" s="26">
        <v>0.08</v>
      </c>
      <c r="C14" s="26">
        <v>0.18</v>
      </c>
      <c r="D14" s="26">
        <v>0.24</v>
      </c>
      <c r="E14" s="27">
        <f t="shared" ref="E14:E19" si="1">CHOOSE($B$4,B14,C14,D14)</f>
        <v>0.18</v>
      </c>
      <c r="F14" s="179" t="s">
        <v>55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30" customHeight="1">
      <c r="A15" s="25" t="s">
        <v>56</v>
      </c>
      <c r="B15" s="26">
        <v>0.14000000000000001</v>
      </c>
      <c r="C15" s="26">
        <v>0.24</v>
      </c>
      <c r="D15" s="26">
        <v>0.3</v>
      </c>
      <c r="E15" s="27">
        <f t="shared" si="1"/>
        <v>0.24</v>
      </c>
      <c r="F15" s="180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0" customHeight="1">
      <c r="A16" s="25" t="s">
        <v>57</v>
      </c>
      <c r="B16" s="26">
        <v>0.57999999999999996</v>
      </c>
      <c r="C16" s="26">
        <v>0.64</v>
      </c>
      <c r="D16" s="26">
        <v>0.66</v>
      </c>
      <c r="E16" s="27">
        <f t="shared" si="1"/>
        <v>0.64</v>
      </c>
      <c r="F16" s="179" t="s">
        <v>58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0" customHeight="1">
      <c r="A17" s="25" t="s">
        <v>59</v>
      </c>
      <c r="B17" s="26">
        <v>0.62</v>
      </c>
      <c r="C17" s="26">
        <v>0.68</v>
      </c>
      <c r="D17" s="26">
        <v>0.72</v>
      </c>
      <c r="E17" s="27">
        <f t="shared" si="1"/>
        <v>0.68</v>
      </c>
      <c r="F17" s="180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0" customHeight="1">
      <c r="A18" s="25" t="s">
        <v>60</v>
      </c>
      <c r="B18" s="26">
        <v>-0.45</v>
      </c>
      <c r="C18" s="26">
        <v>-0.2</v>
      </c>
      <c r="D18" s="26">
        <v>-0.05</v>
      </c>
      <c r="E18" s="27">
        <f t="shared" si="1"/>
        <v>-0.2</v>
      </c>
      <c r="F18" s="179" t="s">
        <v>61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0" customHeight="1">
      <c r="A19" s="25" t="s">
        <v>62</v>
      </c>
      <c r="B19" s="26">
        <v>0.05</v>
      </c>
      <c r="C19" s="26">
        <v>0.28000000000000003</v>
      </c>
      <c r="D19" s="26">
        <v>0.38</v>
      </c>
      <c r="E19" s="27">
        <f t="shared" si="1"/>
        <v>0.28000000000000003</v>
      </c>
      <c r="F19" s="18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8" customHeight="1">
      <c r="A20" s="23" t="s">
        <v>63</v>
      </c>
      <c r="B20" s="24"/>
      <c r="C20" s="24"/>
      <c r="D20" s="24"/>
      <c r="E20" s="24"/>
      <c r="F20" s="29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0" customHeight="1">
      <c r="A21" s="25" t="s">
        <v>64</v>
      </c>
      <c r="B21" s="26">
        <v>1</v>
      </c>
      <c r="C21" s="26">
        <v>0.85</v>
      </c>
      <c r="D21" s="26">
        <v>0.7</v>
      </c>
      <c r="E21" s="27">
        <f t="shared" ref="E21:E26" si="2">CHOOSE($B$4,B21,C21,D21)</f>
        <v>0.85</v>
      </c>
      <c r="F21" s="179" t="s">
        <v>65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0" customHeight="1">
      <c r="A22" s="25" t="s">
        <v>66</v>
      </c>
      <c r="B22" s="26">
        <v>0.55000000000000004</v>
      </c>
      <c r="C22" s="26">
        <v>0.35</v>
      </c>
      <c r="D22" s="26">
        <v>0.2</v>
      </c>
      <c r="E22" s="27">
        <f t="shared" si="2"/>
        <v>0.35</v>
      </c>
      <c r="F22" s="18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30" customHeight="1">
      <c r="A23" s="25" t="s">
        <v>67</v>
      </c>
      <c r="B23" s="26">
        <v>0.42</v>
      </c>
      <c r="C23" s="26">
        <v>0.33</v>
      </c>
      <c r="D23" s="26">
        <v>0.25</v>
      </c>
      <c r="E23" s="27">
        <f t="shared" si="2"/>
        <v>0.33</v>
      </c>
      <c r="F23" s="179" t="s">
        <v>68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0" customHeight="1">
      <c r="A24" s="25" t="s">
        <v>69</v>
      </c>
      <c r="B24" s="26">
        <v>0.24</v>
      </c>
      <c r="C24" s="26">
        <v>0.15</v>
      </c>
      <c r="D24" s="26">
        <v>0.1</v>
      </c>
      <c r="E24" s="27">
        <f t="shared" si="2"/>
        <v>0.15</v>
      </c>
      <c r="F24" s="180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33.75" customHeight="1">
      <c r="A25" s="25" t="s">
        <v>70</v>
      </c>
      <c r="B25" s="26">
        <v>2</v>
      </c>
      <c r="C25" s="26">
        <v>2.2000000000000002</v>
      </c>
      <c r="D25" s="26">
        <v>1.5</v>
      </c>
      <c r="E25" s="27">
        <f t="shared" si="2"/>
        <v>2.2000000000000002</v>
      </c>
      <c r="F25" s="179" t="s">
        <v>71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30" customHeight="1">
      <c r="A26" s="25" t="s">
        <v>72</v>
      </c>
      <c r="B26" s="26">
        <v>0.6</v>
      </c>
      <c r="C26" s="26">
        <v>0.5</v>
      </c>
      <c r="D26" s="26">
        <v>0.28000000000000003</v>
      </c>
      <c r="E26" s="27">
        <f t="shared" si="2"/>
        <v>0.5</v>
      </c>
      <c r="F26" s="18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8" customHeight="1">
      <c r="A27" s="23" t="s">
        <v>73</v>
      </c>
      <c r="B27" s="24"/>
      <c r="C27" s="24"/>
      <c r="D27" s="24"/>
      <c r="E27" s="24"/>
      <c r="F27" s="2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30" customHeight="1">
      <c r="A28" s="25" t="s">
        <v>74</v>
      </c>
      <c r="B28" s="30">
        <v>15</v>
      </c>
      <c r="C28" s="30">
        <v>18</v>
      </c>
      <c r="D28" s="30">
        <v>22</v>
      </c>
      <c r="E28" s="31">
        <f t="shared" ref="E28:E30" si="3">CHOOSE($B$4,B28,C28,D28)</f>
        <v>18</v>
      </c>
      <c r="F28" s="28" t="s">
        <v>75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30" customHeight="1">
      <c r="A29" s="25" t="s">
        <v>76</v>
      </c>
      <c r="B29" s="30">
        <v>5</v>
      </c>
      <c r="C29" s="30">
        <v>6</v>
      </c>
      <c r="D29" s="30">
        <v>8</v>
      </c>
      <c r="E29" s="31">
        <f t="shared" si="3"/>
        <v>6</v>
      </c>
      <c r="F29" s="28" t="s">
        <v>77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30" customHeight="1">
      <c r="A30" s="25" t="s">
        <v>78</v>
      </c>
      <c r="B30" s="30">
        <v>5</v>
      </c>
      <c r="C30" s="30">
        <v>4</v>
      </c>
      <c r="D30" s="30">
        <v>3</v>
      </c>
      <c r="E30" s="31">
        <f t="shared" si="3"/>
        <v>4</v>
      </c>
      <c r="F30" s="28" t="s">
        <v>79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8" customHeight="1">
      <c r="A31" s="23" t="s">
        <v>80</v>
      </c>
      <c r="B31" s="24"/>
      <c r="C31" s="24"/>
      <c r="D31" s="24"/>
      <c r="E31" s="24"/>
      <c r="F31" s="29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30" customHeight="1">
      <c r="A32" s="25" t="s">
        <v>81</v>
      </c>
      <c r="B32" s="26">
        <v>0.03</v>
      </c>
      <c r="C32" s="26">
        <v>2.5000000000000001E-2</v>
      </c>
      <c r="D32" s="26">
        <v>0.02</v>
      </c>
      <c r="E32" s="27">
        <f t="shared" ref="E32:E40" si="4">CHOOSE($B$4,B32,C32,D32)</f>
        <v>2.5000000000000001E-2</v>
      </c>
      <c r="F32" s="28" t="s">
        <v>82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0" customHeight="1">
      <c r="A33" s="25" t="s">
        <v>83</v>
      </c>
      <c r="B33" s="26">
        <v>0.04</v>
      </c>
      <c r="C33" s="26">
        <v>0.02</v>
      </c>
      <c r="D33" s="26">
        <v>0.01</v>
      </c>
      <c r="E33" s="27">
        <f t="shared" si="4"/>
        <v>0.02</v>
      </c>
      <c r="F33" s="28" t="s">
        <v>84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30" customHeight="1">
      <c r="A34" s="25" t="s">
        <v>85</v>
      </c>
      <c r="B34" s="30">
        <v>30</v>
      </c>
      <c r="C34" s="30">
        <v>20</v>
      </c>
      <c r="D34" s="30">
        <v>15</v>
      </c>
      <c r="E34" s="31">
        <f t="shared" si="4"/>
        <v>20</v>
      </c>
      <c r="F34" s="28" t="s">
        <v>86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30" customHeight="1">
      <c r="A35" s="25" t="s">
        <v>87</v>
      </c>
      <c r="B35" s="30">
        <v>25</v>
      </c>
      <c r="C35" s="30">
        <v>15</v>
      </c>
      <c r="D35" s="30">
        <v>10</v>
      </c>
      <c r="E35" s="31">
        <f t="shared" si="4"/>
        <v>15</v>
      </c>
      <c r="F35" s="28" t="s">
        <v>88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30" customHeight="1">
      <c r="A36" s="25" t="s">
        <v>89</v>
      </c>
      <c r="B36" s="30">
        <v>35</v>
      </c>
      <c r="C36" s="30">
        <v>45</v>
      </c>
      <c r="D36" s="30">
        <v>55</v>
      </c>
      <c r="E36" s="31">
        <f t="shared" si="4"/>
        <v>45</v>
      </c>
      <c r="F36" s="28" t="s">
        <v>90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30" customHeight="1">
      <c r="A37" s="25" t="s">
        <v>91</v>
      </c>
      <c r="B37" s="26">
        <v>0.21</v>
      </c>
      <c r="C37" s="26">
        <v>0.21</v>
      </c>
      <c r="D37" s="26">
        <v>0.21</v>
      </c>
      <c r="E37" s="27">
        <f t="shared" si="4"/>
        <v>0.21</v>
      </c>
      <c r="F37" s="28" t="s">
        <v>92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30" customHeight="1">
      <c r="A38" s="25" t="s">
        <v>93</v>
      </c>
      <c r="B38" s="26">
        <v>0.55000000000000004</v>
      </c>
      <c r="C38" s="26">
        <v>0.7</v>
      </c>
      <c r="D38" s="26">
        <v>0.8</v>
      </c>
      <c r="E38" s="27">
        <f t="shared" si="4"/>
        <v>0.7</v>
      </c>
      <c r="F38" s="28" t="s">
        <v>94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24.75" customHeight="1">
      <c r="A39" s="25" t="s">
        <v>95</v>
      </c>
      <c r="B39" s="26">
        <v>0.05</v>
      </c>
      <c r="C39" s="26">
        <v>0.04</v>
      </c>
      <c r="D39" s="26">
        <v>0.03</v>
      </c>
      <c r="E39" s="27">
        <f t="shared" si="4"/>
        <v>0.04</v>
      </c>
      <c r="F39" s="28" t="s">
        <v>96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25.5" customHeight="1">
      <c r="A40" s="25" t="s">
        <v>97</v>
      </c>
      <c r="B40" s="26">
        <v>0.06</v>
      </c>
      <c r="C40" s="26">
        <v>0.05</v>
      </c>
      <c r="D40" s="26">
        <v>0.04</v>
      </c>
      <c r="E40" s="27">
        <f t="shared" si="4"/>
        <v>0.05</v>
      </c>
      <c r="F40" s="28" t="s">
        <v>98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30" customHeight="1">
      <c r="A41" s="23" t="s">
        <v>99</v>
      </c>
      <c r="B41" s="24"/>
      <c r="C41" s="24"/>
      <c r="D41" s="24"/>
      <c r="E41" s="24"/>
      <c r="F41" s="29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30" customHeight="1">
      <c r="A42" s="25" t="s">
        <v>100</v>
      </c>
      <c r="B42" s="26">
        <v>3.5000000000000003E-2</v>
      </c>
      <c r="C42" s="26">
        <v>0.04</v>
      </c>
      <c r="D42" s="26">
        <v>4.2999999999999997E-2</v>
      </c>
      <c r="E42" s="27">
        <f t="shared" ref="E42:E44" si="5">CHOOSE($B$4,B42,C42,D42)</f>
        <v>0.04</v>
      </c>
      <c r="F42" s="28" t="s">
        <v>101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28.5" customHeight="1">
      <c r="A43" s="25" t="s">
        <v>102</v>
      </c>
      <c r="B43" s="26">
        <v>0.02</v>
      </c>
      <c r="C43" s="26">
        <v>0.05</v>
      </c>
      <c r="D43" s="26">
        <v>0.08</v>
      </c>
      <c r="E43" s="27">
        <f t="shared" si="5"/>
        <v>0.05</v>
      </c>
      <c r="F43" s="28" t="s">
        <v>103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8" customHeight="1">
      <c r="A44" s="25" t="s">
        <v>104</v>
      </c>
      <c r="B44" s="26">
        <v>7.0000000000000007E-2</v>
      </c>
      <c r="C44" s="26">
        <v>0.06</v>
      </c>
      <c r="D44" s="26">
        <v>5.5E-2</v>
      </c>
      <c r="E44" s="27">
        <f t="shared" si="5"/>
        <v>0.06</v>
      </c>
      <c r="F44" s="28" t="s">
        <v>105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30" customHeight="1">
      <c r="A45" s="23" t="s">
        <v>106</v>
      </c>
      <c r="B45" s="24"/>
      <c r="C45" s="24"/>
      <c r="D45" s="24"/>
      <c r="E45" s="24"/>
      <c r="F45" s="2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30" customHeight="1">
      <c r="A46" s="25" t="s">
        <v>107</v>
      </c>
      <c r="B46" s="26">
        <v>3.0000000000000001E-3</v>
      </c>
      <c r="C46" s="26">
        <v>0</v>
      </c>
      <c r="D46" s="26">
        <v>0</v>
      </c>
      <c r="E46" s="27">
        <f t="shared" ref="E46:E55" si="6">CHOOSE($B$4,B46,C46,D46)</f>
        <v>0</v>
      </c>
      <c r="F46" s="28" t="s">
        <v>108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0" customHeight="1">
      <c r="A47" s="25" t="s">
        <v>109</v>
      </c>
      <c r="B47" s="26">
        <v>4.3999999999999997E-2</v>
      </c>
      <c r="C47" s="26">
        <v>4.3999999999999997E-2</v>
      </c>
      <c r="D47" s="26">
        <v>4.3999999999999997E-2</v>
      </c>
      <c r="E47" s="27">
        <f t="shared" si="6"/>
        <v>4.3999999999999997E-2</v>
      </c>
      <c r="F47" s="28" t="s">
        <v>110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30" customHeight="1">
      <c r="A48" s="25" t="s">
        <v>111</v>
      </c>
      <c r="B48" s="26">
        <v>5.5E-2</v>
      </c>
      <c r="C48" s="26">
        <v>0.05</v>
      </c>
      <c r="D48" s="26">
        <v>4.5999999999999999E-2</v>
      </c>
      <c r="E48" s="27">
        <f t="shared" si="6"/>
        <v>0.05</v>
      </c>
      <c r="F48" s="28" t="s">
        <v>112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30" customHeight="1">
      <c r="A49" s="25" t="s">
        <v>113</v>
      </c>
      <c r="B49" s="32">
        <v>1.3</v>
      </c>
      <c r="C49" s="32">
        <v>1.1000000000000001</v>
      </c>
      <c r="D49" s="32">
        <v>0.95</v>
      </c>
      <c r="E49" s="33">
        <f t="shared" si="6"/>
        <v>1.1000000000000001</v>
      </c>
      <c r="F49" s="179" t="s">
        <v>114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30" customHeight="1">
      <c r="A50" s="25" t="s">
        <v>115</v>
      </c>
      <c r="B50" s="32">
        <v>1.1000000000000001</v>
      </c>
      <c r="C50" s="32">
        <v>0.95</v>
      </c>
      <c r="D50" s="32">
        <v>0.8</v>
      </c>
      <c r="E50" s="33">
        <f t="shared" si="6"/>
        <v>0.95</v>
      </c>
      <c r="F50" s="18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30" customHeight="1">
      <c r="A51" s="25" t="s">
        <v>116</v>
      </c>
      <c r="B51" s="32">
        <v>2.2000000000000002</v>
      </c>
      <c r="C51" s="32">
        <v>1.75</v>
      </c>
      <c r="D51" s="32">
        <v>1.4</v>
      </c>
      <c r="E51" s="33">
        <f t="shared" si="6"/>
        <v>1.75</v>
      </c>
      <c r="F51" s="18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30" customHeight="1">
      <c r="A52" s="25" t="s">
        <v>117</v>
      </c>
      <c r="B52" s="33">
        <f>(Input!$E$16/Input!$E$15)*B49+(Input!$E$17/Input!$E$15)*B50+(Input!$E$18/Input!$E$15)*B51</f>
        <v>1.3323176609189247</v>
      </c>
      <c r="C52" s="33">
        <f>(Input!$E$16/Input!$E$15)*C49+(Input!$E$17/Input!$E$15)*C50+(Input!$E$18/Input!$E$15)*C51</f>
        <v>1.1199528756559922</v>
      </c>
      <c r="D52" s="33">
        <f>(Input!$E$16/Input!$E$15)*D49+(Input!$E$17/Input!$E$15)*D50+(Input!$E$18/Input!$E$15)*D51</f>
        <v>0.93566991539038225</v>
      </c>
      <c r="E52" s="33">
        <f t="shared" si="6"/>
        <v>1.1199528756559922</v>
      </c>
      <c r="F52" s="28" t="s">
        <v>118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30" customHeight="1">
      <c r="A53" s="25" t="s">
        <v>119</v>
      </c>
      <c r="B53" s="26">
        <v>0.05</v>
      </c>
      <c r="C53" s="26">
        <v>0.03</v>
      </c>
      <c r="D53" s="26">
        <v>0.02</v>
      </c>
      <c r="E53" s="27">
        <f t="shared" si="6"/>
        <v>0.03</v>
      </c>
      <c r="F53" s="28" t="s">
        <v>120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8" customHeight="1">
      <c r="A54" s="25" t="s">
        <v>121</v>
      </c>
      <c r="B54" s="27">
        <f t="shared" ref="B54:D54" si="7">B47+B52*B48+B46</f>
        <v>0.12027747135054086</v>
      </c>
      <c r="C54" s="27">
        <f t="shared" si="7"/>
        <v>9.9997643782799614E-2</v>
      </c>
      <c r="D54" s="27">
        <f t="shared" si="7"/>
        <v>8.704081610795758E-2</v>
      </c>
      <c r="E54" s="27">
        <f t="shared" si="6"/>
        <v>9.9997643782799614E-2</v>
      </c>
      <c r="F54" s="28" t="s">
        <v>122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30" customHeight="1">
      <c r="A55" s="25" t="s">
        <v>123</v>
      </c>
      <c r="B55" s="27">
        <f t="shared" ref="B55:D55" si="8">B54*(1-B53)+B44*(1-B37)*B53</f>
        <v>0.11702859778301382</v>
      </c>
      <c r="C55" s="27">
        <f t="shared" si="8"/>
        <v>9.8419714469315633E-2</v>
      </c>
      <c r="D55" s="27">
        <f t="shared" si="8"/>
        <v>8.6168999785798422E-2</v>
      </c>
      <c r="E55" s="27">
        <f t="shared" si="6"/>
        <v>9.8419714469315633E-2</v>
      </c>
      <c r="F55" s="28" t="s">
        <v>124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30" customHeight="1">
      <c r="A56" s="23" t="s">
        <v>125</v>
      </c>
      <c r="B56" s="24"/>
      <c r="C56" s="24"/>
      <c r="D56" s="24"/>
      <c r="E56" s="24"/>
      <c r="F56" s="29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30" customHeight="1">
      <c r="A57" s="25" t="s">
        <v>126</v>
      </c>
      <c r="B57" s="34">
        <v>0.02</v>
      </c>
      <c r="C57" s="34">
        <v>2.5000000000000001E-2</v>
      </c>
      <c r="D57" s="34">
        <v>2.9000000000000001E-2</v>
      </c>
      <c r="E57" s="35">
        <f t="shared" ref="E57:E58" si="9">CHOOSE($B$4,B57,C57,D57)</f>
        <v>2.5000000000000001E-2</v>
      </c>
      <c r="F57" s="28" t="s">
        <v>127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39" customHeight="1">
      <c r="A58" s="25" t="s">
        <v>128</v>
      </c>
      <c r="B58" s="36">
        <v>12</v>
      </c>
      <c r="C58" s="36">
        <v>18</v>
      </c>
      <c r="D58" s="36">
        <v>22</v>
      </c>
      <c r="E58" s="37">
        <f t="shared" si="9"/>
        <v>18</v>
      </c>
      <c r="F58" s="28" t="s">
        <v>129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8" customHeight="1">
      <c r="A59" s="25" t="s">
        <v>130</v>
      </c>
      <c r="B59" s="30"/>
      <c r="C59" s="38">
        <v>1</v>
      </c>
      <c r="D59" s="30"/>
      <c r="E59" s="39">
        <v>1</v>
      </c>
      <c r="F59" s="28" t="s">
        <v>131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29.25" customHeight="1">
      <c r="A60" s="25" t="s">
        <v>132</v>
      </c>
      <c r="B60" s="30"/>
      <c r="C60" s="38">
        <v>1</v>
      </c>
      <c r="D60" s="30"/>
      <c r="E60" s="39">
        <v>1</v>
      </c>
      <c r="F60" s="28" t="s">
        <v>133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8" customHeight="1">
      <c r="A61" s="23" t="s">
        <v>134</v>
      </c>
      <c r="B61" s="24"/>
      <c r="C61" s="24"/>
      <c r="D61" s="24"/>
      <c r="E61" s="24"/>
      <c r="F61" s="29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24.75" customHeight="1">
      <c r="A62" s="25" t="s">
        <v>135</v>
      </c>
      <c r="B62" s="40">
        <v>29132</v>
      </c>
      <c r="C62" s="40">
        <v>29132</v>
      </c>
      <c r="D62" s="40">
        <v>29132</v>
      </c>
      <c r="E62" s="40">
        <v>29132</v>
      </c>
      <c r="F62" s="28" t="s">
        <v>136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8" customHeight="1">
      <c r="A63" s="25" t="s">
        <v>137</v>
      </c>
      <c r="B63" s="40">
        <v>15852</v>
      </c>
      <c r="C63" s="40">
        <v>15852</v>
      </c>
      <c r="D63" s="40">
        <v>15852</v>
      </c>
      <c r="E63" s="40">
        <v>15852</v>
      </c>
      <c r="F63" s="28" t="s">
        <v>138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24.75" customHeight="1">
      <c r="A64" s="25" t="s">
        <v>139</v>
      </c>
      <c r="B64" s="40">
        <v>74400</v>
      </c>
      <c r="C64" s="40">
        <v>74400</v>
      </c>
      <c r="D64" s="40">
        <v>74400</v>
      </c>
      <c r="E64" s="40">
        <v>74400</v>
      </c>
      <c r="F64" s="28" t="s">
        <v>140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8" customHeight="1">
      <c r="A65" s="25" t="s">
        <v>141</v>
      </c>
      <c r="B65" s="41">
        <f t="shared" ref="B65:E65" si="10">B63+B64</f>
        <v>90252</v>
      </c>
      <c r="C65" s="41">
        <f t="shared" si="10"/>
        <v>90252</v>
      </c>
      <c r="D65" s="41">
        <f t="shared" si="10"/>
        <v>90252</v>
      </c>
      <c r="E65" s="41">
        <f t="shared" si="10"/>
        <v>90252</v>
      </c>
      <c r="F65" s="28" t="s">
        <v>142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23.25" customHeight="1">
      <c r="A66" s="25" t="s">
        <v>143</v>
      </c>
      <c r="B66" s="41">
        <f t="shared" ref="B66:E66" si="11">B62-B65</f>
        <v>-61120</v>
      </c>
      <c r="C66" s="41">
        <f t="shared" si="11"/>
        <v>-61120</v>
      </c>
      <c r="D66" s="41">
        <f t="shared" si="11"/>
        <v>-61120</v>
      </c>
      <c r="E66" s="41">
        <f t="shared" si="11"/>
        <v>-61120</v>
      </c>
      <c r="F66" s="28" t="s">
        <v>144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23.25" customHeight="1">
      <c r="A67" s="25" t="s">
        <v>145</v>
      </c>
      <c r="B67" s="40">
        <v>7049</v>
      </c>
      <c r="C67" s="40">
        <v>7049</v>
      </c>
      <c r="D67" s="40">
        <v>7049</v>
      </c>
      <c r="E67" s="40">
        <v>7049</v>
      </c>
      <c r="F67" s="28" t="s">
        <v>146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21.75" customHeight="1">
      <c r="A68" s="25" t="s">
        <v>147</v>
      </c>
      <c r="B68" s="42">
        <v>13075.9</v>
      </c>
      <c r="C68" s="42">
        <v>13075.9</v>
      </c>
      <c r="D68" s="42">
        <v>13075.9</v>
      </c>
      <c r="E68" s="42">
        <v>13075.9</v>
      </c>
      <c r="F68" s="28" t="s">
        <v>148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21.75" customHeight="1">
      <c r="A69" s="25" t="s">
        <v>149</v>
      </c>
      <c r="B69" s="43">
        <v>157.54</v>
      </c>
      <c r="C69" s="43">
        <v>157.54</v>
      </c>
      <c r="D69" s="43">
        <v>157.54</v>
      </c>
      <c r="E69" s="43">
        <v>157.54</v>
      </c>
      <c r="F69" s="28" t="s">
        <v>150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</sheetData>
  <mergeCells count="9">
    <mergeCell ref="F25:F26"/>
    <mergeCell ref="F49:F51"/>
    <mergeCell ref="A2:F2"/>
    <mergeCell ref="A3:F3"/>
    <mergeCell ref="F14:F15"/>
    <mergeCell ref="F16:F17"/>
    <mergeCell ref="F18:F19"/>
    <mergeCell ref="F21:F22"/>
    <mergeCell ref="F23:F24"/>
  </mergeCells>
  <pageMargins left="0.25" right="0.25" top="0.25" bottom="0.25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showGridLines="0" workbookViewId="0"/>
  </sheetViews>
  <sheetFormatPr defaultColWidth="14.44140625" defaultRowHeight="15" customHeight="1"/>
  <cols>
    <col min="1" max="1" width="32" customWidth="1"/>
    <col min="2" max="2" width="8" customWidth="1"/>
    <col min="3" max="3" width="58" customWidth="1"/>
    <col min="4" max="5" width="14" customWidth="1"/>
    <col min="6" max="6" width="90" customWidth="1"/>
  </cols>
  <sheetData>
    <row r="1" spans="1:26" ht="23.25" customHeight="1">
      <c r="A1" s="184" t="s">
        <v>151</v>
      </c>
      <c r="B1" s="176"/>
      <c r="C1" s="176"/>
      <c r="D1" s="176"/>
      <c r="E1" s="173"/>
      <c r="F1" s="44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20.25" customHeight="1">
      <c r="A2" s="185" t="s">
        <v>152</v>
      </c>
      <c r="B2" s="176"/>
      <c r="C2" s="176"/>
      <c r="D2" s="176"/>
      <c r="E2" s="173"/>
      <c r="F2" s="1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</row>
    <row r="3" spans="1:26" ht="15" customHeight="1">
      <c r="A3" s="186"/>
      <c r="B3" s="176"/>
      <c r="C3" s="176"/>
      <c r="D3" s="176"/>
      <c r="E3" s="173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 spans="1:26" ht="15" customHeight="1">
      <c r="A4" s="47" t="s">
        <v>153</v>
      </c>
      <c r="B4" s="47" t="s">
        <v>154</v>
      </c>
      <c r="C4" s="47" t="s">
        <v>155</v>
      </c>
      <c r="D4" s="47" t="s">
        <v>156</v>
      </c>
      <c r="E4" s="47" t="s">
        <v>157</v>
      </c>
      <c r="F4" s="48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 spans="1:26" ht="54.75" customHeight="1">
      <c r="A5" s="47" t="s">
        <v>158</v>
      </c>
      <c r="B5" s="47"/>
      <c r="C5" s="49" t="s">
        <v>159</v>
      </c>
      <c r="D5" s="50"/>
      <c r="E5" s="50"/>
      <c r="F5" s="48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 spans="1:26" ht="15" customHeight="1">
      <c r="A6" s="47" t="s">
        <v>160</v>
      </c>
      <c r="B6" s="47"/>
      <c r="C6" s="49" t="s">
        <v>161</v>
      </c>
      <c r="D6" s="50"/>
      <c r="E6" s="50"/>
      <c r="F6" s="48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ht="15" customHeight="1">
      <c r="A7" s="47" t="s">
        <v>162</v>
      </c>
      <c r="B7" s="47"/>
      <c r="C7" s="49" t="s">
        <v>163</v>
      </c>
      <c r="D7" s="50"/>
      <c r="E7" s="50"/>
      <c r="F7" s="48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ht="15" customHeight="1">
      <c r="A8" s="47" t="s">
        <v>154</v>
      </c>
      <c r="B8" s="47"/>
      <c r="C8" s="49" t="s">
        <v>164</v>
      </c>
      <c r="D8" s="50"/>
      <c r="E8" s="50"/>
      <c r="F8" s="48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ht="15" customHeight="1">
      <c r="A9" s="47" t="s">
        <v>9</v>
      </c>
      <c r="B9" s="47"/>
      <c r="C9" s="49" t="s">
        <v>10</v>
      </c>
      <c r="D9" s="50"/>
      <c r="E9" s="50"/>
      <c r="F9" s="48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28.5" customHeight="1">
      <c r="A10" s="47" t="s">
        <v>165</v>
      </c>
      <c r="B10" s="47"/>
      <c r="C10" s="49" t="s">
        <v>166</v>
      </c>
      <c r="D10" s="50"/>
      <c r="E10" s="50"/>
      <c r="F10" s="48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ht="21.75" customHeight="1">
      <c r="A11" s="47" t="s">
        <v>167</v>
      </c>
      <c r="B11" s="47"/>
      <c r="C11" s="49" t="s">
        <v>168</v>
      </c>
      <c r="D11" s="50"/>
      <c r="E11" s="50"/>
      <c r="F11" s="48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ht="39" customHeight="1">
      <c r="A12" s="47" t="s">
        <v>13</v>
      </c>
      <c r="B12" s="47"/>
      <c r="C12" s="49" t="s">
        <v>169</v>
      </c>
      <c r="D12" s="50"/>
      <c r="E12" s="50"/>
      <c r="F12" s="48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33" customHeight="1">
      <c r="A13" s="47" t="s">
        <v>170</v>
      </c>
      <c r="B13" s="47"/>
      <c r="C13" s="49" t="s">
        <v>171</v>
      </c>
      <c r="D13" s="50"/>
      <c r="E13" s="50"/>
      <c r="F13" s="48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ht="15" customHeight="1">
      <c r="A14" s="187" t="s">
        <v>172</v>
      </c>
      <c r="B14" s="176"/>
      <c r="C14" s="176"/>
      <c r="D14" s="176"/>
      <c r="E14" s="173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ht="15" customHeight="1">
      <c r="A15" s="47" t="s">
        <v>173</v>
      </c>
      <c r="B15" s="47" t="s">
        <v>164</v>
      </c>
      <c r="C15" s="51">
        <v>10387</v>
      </c>
      <c r="D15" s="51">
        <v>14015</v>
      </c>
      <c r="E15" s="51">
        <v>18674</v>
      </c>
      <c r="F15" s="48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ht="27.75" customHeight="1">
      <c r="A16" s="47" t="s">
        <v>174</v>
      </c>
      <c r="B16" s="47" t="s">
        <v>164</v>
      </c>
      <c r="C16" s="47" t="s">
        <v>175</v>
      </c>
      <c r="D16" s="47" t="s">
        <v>175</v>
      </c>
      <c r="E16" s="51">
        <v>4086</v>
      </c>
      <c r="F16" s="48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27.75" customHeight="1">
      <c r="A17" s="47" t="s">
        <v>176</v>
      </c>
      <c r="B17" s="47" t="s">
        <v>164</v>
      </c>
      <c r="C17" s="47" t="s">
        <v>175</v>
      </c>
      <c r="D17" s="47" t="s">
        <v>175</v>
      </c>
      <c r="E17" s="51">
        <v>11387</v>
      </c>
      <c r="F17" s="48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ht="27.75" customHeight="1">
      <c r="A18" s="47" t="s">
        <v>177</v>
      </c>
      <c r="B18" s="47" t="s">
        <v>164</v>
      </c>
      <c r="C18" s="47" t="s">
        <v>175</v>
      </c>
      <c r="D18" s="47" t="s">
        <v>175</v>
      </c>
      <c r="E18" s="51">
        <v>3201</v>
      </c>
      <c r="F18" s="48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ht="15" customHeight="1">
      <c r="A19" s="47" t="s">
        <v>178</v>
      </c>
      <c r="B19" s="47" t="s">
        <v>164</v>
      </c>
      <c r="C19" s="47" t="s">
        <v>175</v>
      </c>
      <c r="D19" s="47" t="s">
        <v>175</v>
      </c>
      <c r="E19" s="47" t="s">
        <v>175</v>
      </c>
      <c r="F19" s="48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" customHeight="1">
      <c r="A20" s="47" t="s">
        <v>179</v>
      </c>
      <c r="B20" s="47" t="s">
        <v>164</v>
      </c>
      <c r="C20" s="47" t="s">
        <v>175</v>
      </c>
      <c r="D20" s="47" t="s">
        <v>175</v>
      </c>
      <c r="E20" s="47" t="s">
        <v>175</v>
      </c>
      <c r="F20" s="48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27.75" customHeight="1">
      <c r="A21" s="47" t="s">
        <v>180</v>
      </c>
      <c r="B21" s="47" t="s">
        <v>164</v>
      </c>
      <c r="C21" s="47" t="s">
        <v>175</v>
      </c>
      <c r="D21" s="47" t="s">
        <v>175</v>
      </c>
      <c r="E21" s="47" t="s">
        <v>175</v>
      </c>
      <c r="F21" s="48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" customHeight="1">
      <c r="A22" s="47" t="s">
        <v>181</v>
      </c>
      <c r="B22" s="47" t="s">
        <v>164</v>
      </c>
      <c r="C22" s="47" t="s">
        <v>175</v>
      </c>
      <c r="D22" s="47" t="s">
        <v>175</v>
      </c>
      <c r="E22" s="47" t="s">
        <v>175</v>
      </c>
      <c r="F22" s="48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" customHeight="1">
      <c r="A23" s="47" t="s">
        <v>182</v>
      </c>
      <c r="B23" s="47" t="s">
        <v>164</v>
      </c>
      <c r="C23" s="47" t="s">
        <v>175</v>
      </c>
      <c r="D23" s="47" t="s">
        <v>175</v>
      </c>
      <c r="E23" s="47" t="s">
        <v>175</v>
      </c>
      <c r="F23" s="48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27.75" customHeight="1">
      <c r="A24" s="47" t="s">
        <v>183</v>
      </c>
      <c r="B24" s="47" t="s">
        <v>164</v>
      </c>
      <c r="C24" s="47" t="s">
        <v>175</v>
      </c>
      <c r="D24" s="47" t="s">
        <v>175</v>
      </c>
      <c r="E24" s="47" t="s">
        <v>175</v>
      </c>
      <c r="F24" s="48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" customHeight="1">
      <c r="A25" s="47" t="s">
        <v>184</v>
      </c>
      <c r="B25" s="47" t="s">
        <v>164</v>
      </c>
      <c r="C25" s="47" t="s">
        <v>175</v>
      </c>
      <c r="D25" s="47" t="s">
        <v>175</v>
      </c>
      <c r="E25" s="47" t="s">
        <v>175</v>
      </c>
      <c r="F25" s="48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27.75" customHeight="1">
      <c r="A26" s="47" t="s">
        <v>185</v>
      </c>
      <c r="B26" s="47" t="s">
        <v>164</v>
      </c>
      <c r="C26" s="51">
        <v>3821</v>
      </c>
      <c r="D26" s="51">
        <v>5350</v>
      </c>
      <c r="E26" s="51">
        <v>6584</v>
      </c>
      <c r="F26" s="48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27.75" customHeight="1">
      <c r="A27" s="47" t="s">
        <v>186</v>
      </c>
      <c r="B27" s="47" t="s">
        <v>164</v>
      </c>
      <c r="C27" s="47" t="s">
        <v>175</v>
      </c>
      <c r="D27" s="47" t="s">
        <v>175</v>
      </c>
      <c r="E27" s="47" t="s">
        <v>175</v>
      </c>
      <c r="F27" s="48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" customHeight="1">
      <c r="A28" s="47" t="s">
        <v>187</v>
      </c>
      <c r="B28" s="47" t="s">
        <v>164</v>
      </c>
      <c r="C28" s="51">
        <v>-3505</v>
      </c>
      <c r="D28" s="51">
        <v>466</v>
      </c>
      <c r="E28" s="51">
        <v>-2589</v>
      </c>
      <c r="F28" s="48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" customHeight="1">
      <c r="A29" s="47" t="s">
        <v>188</v>
      </c>
      <c r="B29" s="47" t="s">
        <v>164</v>
      </c>
      <c r="C29" s="47" t="s">
        <v>175</v>
      </c>
      <c r="D29" s="47" t="s">
        <v>175</v>
      </c>
      <c r="E29" s="47" t="s">
        <v>175</v>
      </c>
      <c r="F29" s="48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" customHeight="1">
      <c r="A30" s="47" t="s">
        <v>189</v>
      </c>
      <c r="B30" s="47" t="s">
        <v>164</v>
      </c>
      <c r="C30" s="47" t="s">
        <v>175</v>
      </c>
      <c r="D30" s="47" t="s">
        <v>175</v>
      </c>
      <c r="E30" s="47" t="s">
        <v>175</v>
      </c>
      <c r="F30" s="48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" customHeight="1">
      <c r="A31" s="47" t="s">
        <v>190</v>
      </c>
      <c r="B31" s="47" t="s">
        <v>164</v>
      </c>
      <c r="C31" s="47" t="s">
        <v>175</v>
      </c>
      <c r="D31" s="47" t="s">
        <v>175</v>
      </c>
      <c r="E31" s="47" t="s">
        <v>175</v>
      </c>
      <c r="F31" s="48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" customHeight="1">
      <c r="A32" s="47" t="s">
        <v>191</v>
      </c>
      <c r="B32" s="47" t="s">
        <v>164</v>
      </c>
      <c r="C32" s="47" t="s">
        <v>175</v>
      </c>
      <c r="D32" s="47" t="s">
        <v>175</v>
      </c>
      <c r="E32" s="47" t="s">
        <v>175</v>
      </c>
      <c r="F32" s="48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" customHeight="1">
      <c r="A33" s="47" t="s">
        <v>192</v>
      </c>
      <c r="B33" s="47" t="s">
        <v>164</v>
      </c>
      <c r="C33" s="47" t="s">
        <v>175</v>
      </c>
      <c r="D33" s="47" t="s">
        <v>175</v>
      </c>
      <c r="E33" s="47" t="s">
        <v>175</v>
      </c>
      <c r="F33" s="48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" customHeight="1">
      <c r="A34" s="47" t="s">
        <v>193</v>
      </c>
      <c r="B34" s="47" t="s">
        <v>164</v>
      </c>
      <c r="C34" s="51">
        <v>-4628</v>
      </c>
      <c r="D34" s="51">
        <v>791</v>
      </c>
      <c r="E34" s="51">
        <v>-4937</v>
      </c>
      <c r="F34" s="48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" customHeight="1">
      <c r="A35" s="47" t="s">
        <v>194</v>
      </c>
      <c r="B35" s="47" t="s">
        <v>164</v>
      </c>
      <c r="C35" s="47" t="s">
        <v>175</v>
      </c>
      <c r="D35" s="47" t="s">
        <v>175</v>
      </c>
      <c r="E35" s="47" t="s">
        <v>175</v>
      </c>
      <c r="F35" s="48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41.25" customHeight="1">
      <c r="A36" s="47" t="s">
        <v>195</v>
      </c>
      <c r="B36" s="47" t="s">
        <v>164</v>
      </c>
      <c r="C36" s="47" t="s">
        <v>175</v>
      </c>
      <c r="D36" s="47" t="s">
        <v>175</v>
      </c>
      <c r="E36" s="51">
        <v>-4937</v>
      </c>
      <c r="F36" s="48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" customHeight="1">
      <c r="A37" s="47" t="s">
        <v>196</v>
      </c>
      <c r="B37" s="47" t="s">
        <v>164</v>
      </c>
      <c r="C37" s="51">
        <v>2759</v>
      </c>
      <c r="D37" s="51">
        <v>2848</v>
      </c>
      <c r="E37" s="51">
        <v>2926</v>
      </c>
      <c r="F37" s="48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41.25" customHeight="1">
      <c r="A38" s="47" t="s">
        <v>197</v>
      </c>
      <c r="B38" s="47" t="s">
        <v>164</v>
      </c>
      <c r="C38" s="51">
        <v>2759</v>
      </c>
      <c r="D38" s="51">
        <v>9956</v>
      </c>
      <c r="E38" s="51">
        <v>2926</v>
      </c>
      <c r="F38" s="48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" customHeight="1">
      <c r="A39" s="47" t="s">
        <v>198</v>
      </c>
      <c r="B39" s="47" t="s">
        <v>164</v>
      </c>
      <c r="C39" s="51">
        <v>-1.68</v>
      </c>
      <c r="D39" s="51">
        <v>0</v>
      </c>
      <c r="E39" s="51">
        <v>-1.69</v>
      </c>
      <c r="F39" s="48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" customHeight="1">
      <c r="A40" s="188" t="s">
        <v>199</v>
      </c>
      <c r="B40" s="176"/>
      <c r="C40" s="176"/>
      <c r="D40" s="176"/>
      <c r="E40" s="173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27.75" customHeight="1">
      <c r="A41" s="47" t="s">
        <v>200</v>
      </c>
      <c r="B41" s="47" t="s">
        <v>164</v>
      </c>
      <c r="C41" s="47" t="s">
        <v>175</v>
      </c>
      <c r="D41" s="51">
        <v>11385</v>
      </c>
      <c r="E41" s="51">
        <v>24747</v>
      </c>
      <c r="F41" s="48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" customHeight="1">
      <c r="A42" s="47" t="s">
        <v>201</v>
      </c>
      <c r="B42" s="47" t="s">
        <v>164</v>
      </c>
      <c r="C42" s="47" t="s">
        <v>175</v>
      </c>
      <c r="D42" s="47" t="s">
        <v>175</v>
      </c>
      <c r="E42" s="47" t="s">
        <v>175</v>
      </c>
      <c r="F42" s="48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" customHeight="1">
      <c r="A43" s="47" t="s">
        <v>202</v>
      </c>
      <c r="B43" s="47" t="s">
        <v>164</v>
      </c>
      <c r="C43" s="47" t="s">
        <v>175</v>
      </c>
      <c r="D43" s="47" t="s">
        <v>175</v>
      </c>
      <c r="E43" s="47" t="s">
        <v>175</v>
      </c>
      <c r="F43" s="48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" customHeight="1">
      <c r="A44" s="47" t="s">
        <v>203</v>
      </c>
      <c r="B44" s="47" t="s">
        <v>164</v>
      </c>
      <c r="C44" s="47" t="s">
        <v>175</v>
      </c>
      <c r="D44" s="47" t="s">
        <v>175</v>
      </c>
      <c r="E44" s="47" t="s">
        <v>175</v>
      </c>
      <c r="F44" s="48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" customHeight="1">
      <c r="A45" s="47" t="s">
        <v>204</v>
      </c>
      <c r="B45" s="47" t="s">
        <v>164</v>
      </c>
      <c r="C45" s="47" t="s">
        <v>175</v>
      </c>
      <c r="D45" s="47" t="s">
        <v>175</v>
      </c>
      <c r="E45" s="47" t="s">
        <v>175</v>
      </c>
      <c r="F45" s="48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" customHeight="1">
      <c r="A46" s="47" t="s">
        <v>205</v>
      </c>
      <c r="B46" s="47" t="s">
        <v>164</v>
      </c>
      <c r="C46" s="47" t="s">
        <v>175</v>
      </c>
      <c r="D46" s="51">
        <v>16108</v>
      </c>
      <c r="E46" s="51">
        <v>30952</v>
      </c>
      <c r="F46" s="48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 spans="1:26" ht="15" customHeight="1">
      <c r="A47" s="47" t="s">
        <v>206</v>
      </c>
      <c r="B47" s="47" t="s">
        <v>164</v>
      </c>
      <c r="C47" s="47" t="s">
        <v>175</v>
      </c>
      <c r="D47" s="51">
        <v>21147</v>
      </c>
      <c r="E47" s="51">
        <v>42602</v>
      </c>
      <c r="F47" s="48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 spans="1:26" ht="15" customHeight="1">
      <c r="A48" s="47" t="s">
        <v>207</v>
      </c>
      <c r="B48" s="47" t="s">
        <v>164</v>
      </c>
      <c r="C48" s="47" t="s">
        <v>175</v>
      </c>
      <c r="D48" s="47" t="s">
        <v>175</v>
      </c>
      <c r="E48" s="47" t="s">
        <v>175</v>
      </c>
      <c r="F48" s="48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5" customHeight="1">
      <c r="A49" s="47" t="s">
        <v>208</v>
      </c>
      <c r="B49" s="47" t="s">
        <v>164</v>
      </c>
      <c r="C49" s="47" t="s">
        <v>175</v>
      </c>
      <c r="D49" s="47" t="s">
        <v>175</v>
      </c>
      <c r="E49" s="47" t="s">
        <v>175</v>
      </c>
      <c r="F49" s="48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 spans="1:26" ht="15" customHeight="1">
      <c r="A50" s="47" t="s">
        <v>209</v>
      </c>
      <c r="B50" s="47" t="s">
        <v>164</v>
      </c>
      <c r="C50" s="47" t="s">
        <v>175</v>
      </c>
      <c r="D50" s="47" t="s">
        <v>175</v>
      </c>
      <c r="E50" s="47" t="s">
        <v>175</v>
      </c>
      <c r="F50" s="48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</row>
    <row r="51" spans="1:26" ht="15" customHeight="1">
      <c r="A51" s="47" t="s">
        <v>210</v>
      </c>
      <c r="B51" s="47" t="s">
        <v>164</v>
      </c>
      <c r="C51" s="47" t="s">
        <v>175</v>
      </c>
      <c r="D51" s="51">
        <v>57062</v>
      </c>
      <c r="E51" s="51">
        <v>92079</v>
      </c>
      <c r="F51" s="48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</row>
    <row r="52" spans="1:26" ht="15" customHeight="1">
      <c r="A52" s="47" t="s">
        <v>211</v>
      </c>
      <c r="B52" s="47" t="s">
        <v>164</v>
      </c>
      <c r="C52" s="47" t="s">
        <v>175</v>
      </c>
      <c r="D52" s="47" t="s">
        <v>175</v>
      </c>
      <c r="E52" s="47" t="s">
        <v>175</v>
      </c>
      <c r="F52" s="48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 spans="1:26" ht="15" customHeight="1">
      <c r="A53" s="47" t="s">
        <v>212</v>
      </c>
      <c r="B53" s="47" t="s">
        <v>164</v>
      </c>
      <c r="C53" s="47" t="s">
        <v>175</v>
      </c>
      <c r="D53" s="51">
        <v>372</v>
      </c>
      <c r="E53" s="51">
        <v>928</v>
      </c>
      <c r="F53" s="48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 spans="1:26" ht="15" customHeight="1">
      <c r="A54" s="47" t="s">
        <v>213</v>
      </c>
      <c r="B54" s="47" t="s">
        <v>164</v>
      </c>
      <c r="C54" s="47" t="s">
        <v>175</v>
      </c>
      <c r="D54" s="47" t="s">
        <v>175</v>
      </c>
      <c r="E54" s="47" t="s">
        <v>175</v>
      </c>
      <c r="F54" s="48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" customHeight="1">
      <c r="A55" s="47" t="s">
        <v>214</v>
      </c>
      <c r="B55" s="47" t="s">
        <v>164</v>
      </c>
      <c r="C55" s="47" t="s">
        <v>175</v>
      </c>
      <c r="D55" s="51">
        <v>11791</v>
      </c>
      <c r="E55" s="51">
        <v>21400</v>
      </c>
      <c r="F55" s="48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</row>
    <row r="56" spans="1:26" ht="27.75" customHeight="1">
      <c r="A56" s="47" t="s">
        <v>215</v>
      </c>
      <c r="B56" s="47" t="s">
        <v>164</v>
      </c>
      <c r="C56" s="47" t="s">
        <v>175</v>
      </c>
      <c r="D56" s="47" t="s">
        <v>175</v>
      </c>
      <c r="E56" s="47" t="s">
        <v>175</v>
      </c>
      <c r="F56" s="48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</row>
    <row r="57" spans="1:26" ht="15" customHeight="1">
      <c r="A57" s="47" t="s">
        <v>216</v>
      </c>
      <c r="B57" s="47" t="s">
        <v>164</v>
      </c>
      <c r="C57" s="47" t="s">
        <v>175</v>
      </c>
      <c r="D57" s="47" t="s">
        <v>175</v>
      </c>
      <c r="E57" s="47" t="s">
        <v>175</v>
      </c>
      <c r="F57" s="48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" customHeight="1">
      <c r="A58" s="47" t="s">
        <v>217</v>
      </c>
      <c r="B58" s="47" t="s">
        <v>164</v>
      </c>
      <c r="C58" s="47" t="s">
        <v>175</v>
      </c>
      <c r="D58" s="47" t="s">
        <v>175</v>
      </c>
      <c r="E58" s="47" t="s">
        <v>175</v>
      </c>
      <c r="F58" s="48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9.5" customHeight="1">
      <c r="A59" s="47" t="s">
        <v>218</v>
      </c>
      <c r="B59" s="47" t="s">
        <v>164</v>
      </c>
      <c r="C59" s="47" t="s">
        <v>175</v>
      </c>
      <c r="D59" s="51">
        <v>31258</v>
      </c>
      <c r="E59" s="51">
        <v>50754</v>
      </c>
      <c r="F59" s="48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5" customHeight="1">
      <c r="A60" s="47" t="s">
        <v>219</v>
      </c>
      <c r="B60" s="47" t="s">
        <v>164</v>
      </c>
      <c r="C60" s="47" t="s">
        <v>175</v>
      </c>
      <c r="D60" s="47" t="s">
        <v>175</v>
      </c>
      <c r="E60" s="47" t="s">
        <v>175</v>
      </c>
      <c r="F60" s="48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5" customHeight="1">
      <c r="A61" s="47" t="s">
        <v>220</v>
      </c>
      <c r="B61" s="47" t="s">
        <v>164</v>
      </c>
      <c r="C61" s="47" t="s">
        <v>175</v>
      </c>
      <c r="D61" s="47" t="s">
        <v>175</v>
      </c>
      <c r="E61" s="47" t="s">
        <v>175</v>
      </c>
      <c r="F61" s="48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5" customHeight="1">
      <c r="A62" s="47" t="s">
        <v>221</v>
      </c>
      <c r="B62" s="47" t="s">
        <v>164</v>
      </c>
      <c r="C62" s="47" t="s">
        <v>175</v>
      </c>
      <c r="D62" s="47" t="s">
        <v>175</v>
      </c>
      <c r="E62" s="47" t="s">
        <v>175</v>
      </c>
      <c r="F62" s="48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5" customHeight="1">
      <c r="A63" s="47" t="s">
        <v>222</v>
      </c>
      <c r="B63" s="47" t="s">
        <v>164</v>
      </c>
      <c r="C63" s="47" t="s">
        <v>175</v>
      </c>
      <c r="D63" s="47" t="s">
        <v>175</v>
      </c>
      <c r="E63" s="47" t="s">
        <v>175</v>
      </c>
      <c r="F63" s="48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5" customHeight="1">
      <c r="A64" s="47" t="s">
        <v>223</v>
      </c>
      <c r="B64" s="47" t="s">
        <v>164</v>
      </c>
      <c r="C64" s="47" t="s">
        <v>175</v>
      </c>
      <c r="D64" s="51">
        <v>4863</v>
      </c>
      <c r="E64" s="51">
        <v>2573</v>
      </c>
      <c r="F64" s="48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4.25" customHeight="1">
      <c r="A65" s="47" t="s">
        <v>224</v>
      </c>
      <c r="B65" s="47" t="s">
        <v>164</v>
      </c>
      <c r="C65" s="47" t="s">
        <v>175</v>
      </c>
      <c r="D65" s="51">
        <v>57062</v>
      </c>
      <c r="E65" s="51">
        <v>92079</v>
      </c>
      <c r="F65" s="48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5" customHeight="1">
      <c r="A66" s="188" t="s">
        <v>225</v>
      </c>
      <c r="B66" s="176"/>
      <c r="C66" s="176"/>
      <c r="D66" s="176"/>
      <c r="E66" s="173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4.25" customHeight="1">
      <c r="A67" s="47" t="s">
        <v>226</v>
      </c>
      <c r="B67" s="47" t="s">
        <v>164</v>
      </c>
      <c r="C67" s="51">
        <v>-4628</v>
      </c>
      <c r="D67" s="51">
        <v>791</v>
      </c>
      <c r="E67" s="51">
        <v>-4937</v>
      </c>
      <c r="F67" s="48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5" customHeight="1">
      <c r="A68" s="47" t="s">
        <v>227</v>
      </c>
      <c r="B68" s="47" t="s">
        <v>164</v>
      </c>
      <c r="C68" s="47" t="s">
        <v>175</v>
      </c>
      <c r="D68" s="47" t="s">
        <v>175</v>
      </c>
      <c r="E68" s="47" t="s">
        <v>175</v>
      </c>
      <c r="F68" s="48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5" customHeight="1">
      <c r="A69" s="47" t="s">
        <v>228</v>
      </c>
      <c r="B69" s="47" t="s">
        <v>164</v>
      </c>
      <c r="C69" s="47" t="s">
        <v>175</v>
      </c>
      <c r="D69" s="47" t="s">
        <v>175</v>
      </c>
      <c r="E69" s="47" t="s">
        <v>175</v>
      </c>
      <c r="F69" s="48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5" customHeight="1">
      <c r="A70" s="47" t="s">
        <v>229</v>
      </c>
      <c r="B70" s="47" t="s">
        <v>164</v>
      </c>
      <c r="C70" s="47" t="s">
        <v>175</v>
      </c>
      <c r="D70" s="47" t="s">
        <v>175</v>
      </c>
      <c r="E70" s="47" t="s">
        <v>175</v>
      </c>
      <c r="F70" s="48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5" customHeight="1">
      <c r="A71" s="47" t="s">
        <v>230</v>
      </c>
      <c r="B71" s="47" t="s">
        <v>164</v>
      </c>
      <c r="C71" s="47" t="s">
        <v>175</v>
      </c>
      <c r="D71" s="47" t="s">
        <v>175</v>
      </c>
      <c r="E71" s="47" t="s">
        <v>175</v>
      </c>
      <c r="F71" s="48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5" customHeight="1">
      <c r="A72" s="47" t="s">
        <v>231</v>
      </c>
      <c r="B72" s="47" t="s">
        <v>164</v>
      </c>
      <c r="C72" s="51">
        <v>4520</v>
      </c>
      <c r="D72" s="51">
        <v>5776</v>
      </c>
      <c r="E72" s="51">
        <v>6785</v>
      </c>
      <c r="F72" s="48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3.5" customHeight="1">
      <c r="A73" s="47" t="s">
        <v>232</v>
      </c>
      <c r="B73" s="47" t="s">
        <v>164</v>
      </c>
      <c r="C73" s="51">
        <v>-4415</v>
      </c>
      <c r="D73" s="51">
        <v>-11163</v>
      </c>
      <c r="E73" s="51">
        <v>-20737</v>
      </c>
      <c r="F73" s="48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5" customHeight="1">
      <c r="A74" s="47" t="s">
        <v>233</v>
      </c>
      <c r="B74" s="47" t="s">
        <v>164</v>
      </c>
      <c r="C74" s="47" t="s">
        <v>175</v>
      </c>
      <c r="D74" s="47" t="s">
        <v>175</v>
      </c>
      <c r="E74" s="47" t="s">
        <v>175</v>
      </c>
      <c r="F74" s="48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9.5" customHeight="1">
      <c r="A75" s="47" t="s">
        <v>234</v>
      </c>
      <c r="B75" s="47" t="s">
        <v>164</v>
      </c>
      <c r="C75" s="51">
        <v>-452</v>
      </c>
      <c r="D75" s="51">
        <v>367</v>
      </c>
      <c r="E75" s="51">
        <v>1162</v>
      </c>
      <c r="F75" s="48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5" customHeight="1">
      <c r="A76" s="47" t="s">
        <v>235</v>
      </c>
      <c r="B76" s="47" t="s">
        <v>164</v>
      </c>
      <c r="C76" s="51">
        <v>-4867</v>
      </c>
      <c r="D76" s="51">
        <v>-10796</v>
      </c>
      <c r="E76" s="51">
        <v>-19575</v>
      </c>
      <c r="F76" s="48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5" customHeight="1">
      <c r="A77" s="47" t="s">
        <v>236</v>
      </c>
      <c r="B77" s="47" t="s">
        <v>164</v>
      </c>
      <c r="C77" s="47" t="s">
        <v>175</v>
      </c>
      <c r="D77" s="47" t="s">
        <v>175</v>
      </c>
      <c r="E77" s="47" t="s">
        <v>175</v>
      </c>
      <c r="F77" s="48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5" customHeight="1">
      <c r="A78" s="47" t="s">
        <v>237</v>
      </c>
      <c r="B78" s="47" t="s">
        <v>164</v>
      </c>
      <c r="C78" s="47" t="s">
        <v>175</v>
      </c>
      <c r="D78" s="47" t="s">
        <v>175</v>
      </c>
      <c r="E78" s="47" t="s">
        <v>175</v>
      </c>
      <c r="F78" s="48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5" customHeight="1">
      <c r="A79" s="47" t="s">
        <v>238</v>
      </c>
      <c r="B79" s="47" t="s">
        <v>164</v>
      </c>
      <c r="C79" s="47" t="s">
        <v>175</v>
      </c>
      <c r="D79" s="47" t="s">
        <v>175</v>
      </c>
      <c r="E79" s="47" t="s">
        <v>175</v>
      </c>
      <c r="F79" s="48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5" customHeight="1">
      <c r="A80" s="47" t="s">
        <v>239</v>
      </c>
      <c r="B80" s="47" t="s">
        <v>164</v>
      </c>
      <c r="C80" s="51">
        <v>422</v>
      </c>
      <c r="D80" s="51">
        <v>11830</v>
      </c>
      <c r="E80" s="51">
        <v>26350</v>
      </c>
      <c r="F80" s="48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5" customHeight="1">
      <c r="A81" s="47" t="s">
        <v>240</v>
      </c>
      <c r="B81" s="47" t="s">
        <v>164</v>
      </c>
      <c r="C81" s="47" t="s">
        <v>175</v>
      </c>
      <c r="D81" s="47" t="s">
        <v>175</v>
      </c>
      <c r="E81" s="47" t="s">
        <v>175</v>
      </c>
      <c r="F81" s="48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6.5" customHeight="1">
      <c r="A82" s="47" t="s">
        <v>241</v>
      </c>
      <c r="B82" s="47" t="s">
        <v>164</v>
      </c>
      <c r="C82" s="51">
        <v>75</v>
      </c>
      <c r="D82" s="51">
        <v>6810</v>
      </c>
      <c r="E82" s="51">
        <v>13560</v>
      </c>
      <c r="F82" s="48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6.5" customHeight="1">
      <c r="A83" s="188" t="s">
        <v>242</v>
      </c>
      <c r="B83" s="176"/>
      <c r="C83" s="176"/>
      <c r="D83" s="176"/>
      <c r="E83" s="173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02.75" customHeight="1">
      <c r="A84" s="52" t="s">
        <v>243</v>
      </c>
      <c r="B84" s="47"/>
      <c r="C84" s="53" t="s">
        <v>244</v>
      </c>
      <c r="D84" s="50"/>
      <c r="E84" s="50"/>
      <c r="F84" s="48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63" customHeight="1">
      <c r="A85" s="52" t="s">
        <v>245</v>
      </c>
      <c r="B85" s="47"/>
      <c r="C85" s="53" t="s">
        <v>246</v>
      </c>
      <c r="D85" s="50"/>
      <c r="E85" s="50"/>
      <c r="F85" s="48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84.75" customHeight="1">
      <c r="A86" s="52" t="s">
        <v>247</v>
      </c>
      <c r="B86" s="47"/>
      <c r="C86" s="53" t="s">
        <v>248</v>
      </c>
      <c r="D86" s="50"/>
      <c r="E86" s="50"/>
      <c r="F86" s="48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57.75" customHeight="1">
      <c r="A87" s="52" t="s">
        <v>249</v>
      </c>
      <c r="B87" s="47"/>
      <c r="C87" s="53" t="s">
        <v>250</v>
      </c>
      <c r="D87" s="50"/>
      <c r="E87" s="50"/>
      <c r="F87" s="48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5.7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5.7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5.7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5.7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5.7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5.7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5.7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5.7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5.7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5.7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5.7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5.7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5.7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5.7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5.7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5.7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5.7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5.7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5.7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5.7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5.7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5.7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5.7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5.7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5.7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5.7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5.7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5.7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5.7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5.7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5.7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5.7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5.7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5.7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5.7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5.7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5.7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5.7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5.7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5.7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5.7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5.7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5.7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5.7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5.7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5.7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5.7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5.7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5.7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5.7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5.7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5.7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5.7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5.7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5.7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5.7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5.7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5.7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5.7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5.7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5.7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5.7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5.7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5.7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5.7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5.7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5.7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5.7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5.7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5.7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5.7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5.7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5.7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5.7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5.7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5.7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5.7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5.7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5.7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5.7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5.7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5.7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5.7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5.7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5.7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5.7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5.7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5.7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5.7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5.7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5.7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5.7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5.7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5.7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5.7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5.7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5.7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5.7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5.7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5.7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5.7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5.7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5.7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5.7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5.7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5.7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5.7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5.7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5.7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5.7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5.7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5.7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5.7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5.7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5.7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5.7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5.7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5.7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5.7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5.7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5.7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5.7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5.7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5.7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5.7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5.7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5.7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5.7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5.7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5.7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5.7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5.7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5.7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5.7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5.7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5.7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5.7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5.7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5.7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5.7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5.7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5.7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5.7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5.7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5.7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5.7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5.7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5.7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5.7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5.7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5.7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5.7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5.7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5.7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5.7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5.7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5.7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5.7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5.7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5.7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5.7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5.7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5.7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5.7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5.7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5.7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5.7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5.7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5.7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5.7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5.7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5.7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5.7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5.7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5.7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5.7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5.7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5.7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5.7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5.7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5.7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5.7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5.7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5.7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5.7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5.7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5.7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5.7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5.7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5.7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5.7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5.7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5.7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5.7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5.7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5.7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5.7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5.7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5.7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5.7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</sheetData>
  <mergeCells count="7">
    <mergeCell ref="A66:E66"/>
    <mergeCell ref="A83:E83"/>
    <mergeCell ref="A1:E1"/>
    <mergeCell ref="A2:E2"/>
    <mergeCell ref="A3:E3"/>
    <mergeCell ref="A14:E14"/>
    <mergeCell ref="A40:E40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/>
  <cols>
    <col min="1" max="1" width="2" customWidth="1"/>
    <col min="2" max="2" width="38" customWidth="1"/>
    <col min="3" max="10" width="12" customWidth="1"/>
    <col min="11" max="11" width="60" customWidth="1"/>
  </cols>
  <sheetData>
    <row r="1" spans="1:26" ht="20.25" customHeight="1">
      <c r="A1" s="2"/>
      <c r="B1" s="189" t="s">
        <v>251</v>
      </c>
      <c r="C1" s="190"/>
      <c r="D1" s="190"/>
      <c r="E1" s="190"/>
      <c r="F1" s="190"/>
      <c r="G1" s="190"/>
      <c r="H1" s="190"/>
      <c r="I1" s="190"/>
      <c r="J1" s="19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"/>
      <c r="B3" s="2"/>
      <c r="C3" s="54" t="s">
        <v>252</v>
      </c>
      <c r="D3" s="54" t="s">
        <v>253</v>
      </c>
      <c r="E3" s="54" t="s">
        <v>254</v>
      </c>
      <c r="F3" s="54" t="s">
        <v>255</v>
      </c>
      <c r="G3" s="54" t="s">
        <v>256</v>
      </c>
      <c r="H3" s="54" t="s">
        <v>257</v>
      </c>
      <c r="I3" s="54" t="s">
        <v>258</v>
      </c>
      <c r="J3" s="54" t="s">
        <v>259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/>
      <c r="B4" s="191" t="s">
        <v>260</v>
      </c>
      <c r="C4" s="192"/>
      <c r="D4" s="192"/>
      <c r="E4" s="192"/>
      <c r="F4" s="192"/>
      <c r="G4" s="192"/>
      <c r="H4" s="192"/>
      <c r="I4" s="192"/>
      <c r="J4" s="19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1" t="s">
        <v>261</v>
      </c>
      <c r="C5" s="2"/>
      <c r="D5" s="2"/>
      <c r="E5" s="2"/>
      <c r="F5" s="55">
        <f>Assumptions!$E$7+(Assumptions!$E$8-Assumptions!$E$7)*0</f>
        <v>0.08</v>
      </c>
      <c r="G5" s="55">
        <f>Assumptions!$E$7+(Assumptions!$E$8-Assumptions!$E$7)*0.25</f>
        <v>0.09</v>
      </c>
      <c r="H5" s="55">
        <f>Assumptions!$E$7+(Assumptions!$E$8-Assumptions!$E$7)*0.5</f>
        <v>0.1</v>
      </c>
      <c r="I5" s="55">
        <f>Assumptions!$E$7+(Assumptions!$E$8-Assumptions!$E$7)*0.75</f>
        <v>0.11</v>
      </c>
      <c r="J5" s="55">
        <f>Assumptions!$E$7+(Assumptions!$E$8-Assumptions!$E$7)*1</f>
        <v>0.12</v>
      </c>
      <c r="K5" s="5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1" t="s">
        <v>262</v>
      </c>
      <c r="C6" s="57" t="str">
        <f>Input!C16</f>
        <v>n/a</v>
      </c>
      <c r="D6" s="57" t="str">
        <f>Input!D16</f>
        <v>n/a</v>
      </c>
      <c r="E6" s="57">
        <f>Input!E16</f>
        <v>4086</v>
      </c>
      <c r="F6" s="58">
        <f t="shared" ref="F6:J6" si="0">E6*(1+F5)</f>
        <v>4412.88</v>
      </c>
      <c r="G6" s="58">
        <f t="shared" si="0"/>
        <v>4810.0392000000002</v>
      </c>
      <c r="H6" s="58">
        <f t="shared" si="0"/>
        <v>5291.0431200000003</v>
      </c>
      <c r="I6" s="58">
        <f t="shared" si="0"/>
        <v>5873.0578632000006</v>
      </c>
      <c r="J6" s="58">
        <f t="shared" si="0"/>
        <v>6577.8248067840013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1" t="s">
        <v>263</v>
      </c>
      <c r="C7" s="59"/>
      <c r="D7" s="59"/>
      <c r="E7" s="59"/>
      <c r="F7" s="55">
        <f>Assumptions!$E$9+(Assumptions!$E$10-Assumptions!$E$9)*0</f>
        <v>0.35</v>
      </c>
      <c r="G7" s="55">
        <f>Assumptions!$E$9+(Assumptions!$E$10-Assumptions!$E$9)*0.25</f>
        <v>0.3</v>
      </c>
      <c r="H7" s="55">
        <f>Assumptions!$E$9+(Assumptions!$E$10-Assumptions!$E$9)*0.5</f>
        <v>0.25</v>
      </c>
      <c r="I7" s="55">
        <f>Assumptions!$E$9+(Assumptions!$E$10-Assumptions!$E$9)*0.75</f>
        <v>0.19999999999999998</v>
      </c>
      <c r="J7" s="55">
        <f>Assumptions!$E$9+(Assumptions!$E$10-Assumptions!$E$9)*1</f>
        <v>0.15</v>
      </c>
      <c r="K7" s="6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1" t="s">
        <v>264</v>
      </c>
      <c r="C8" s="57" t="str">
        <f>Input!C17</f>
        <v>n/a</v>
      </c>
      <c r="D8" s="57" t="str">
        <f>Input!D17</f>
        <v>n/a</v>
      </c>
      <c r="E8" s="57">
        <f>Input!E17</f>
        <v>11387</v>
      </c>
      <c r="F8" s="58">
        <f t="shared" ref="F8:J8" si="1">E8*(1+F7)</f>
        <v>15372.45</v>
      </c>
      <c r="G8" s="58">
        <f t="shared" si="1"/>
        <v>19984.185000000001</v>
      </c>
      <c r="H8" s="58">
        <f t="shared" si="1"/>
        <v>24980.231250000001</v>
      </c>
      <c r="I8" s="58">
        <f t="shared" si="1"/>
        <v>29976.2775</v>
      </c>
      <c r="J8" s="58">
        <f t="shared" si="1"/>
        <v>34472.719124999996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1" t="s">
        <v>265</v>
      </c>
      <c r="C9" s="59"/>
      <c r="D9" s="59"/>
      <c r="E9" s="59"/>
      <c r="F9" s="55">
        <f>Assumptions!$E$11+(Assumptions!$E$12-Assumptions!$E$11)*0</f>
        <v>0.7</v>
      </c>
      <c r="G9" s="55">
        <f>Assumptions!$E$11+(Assumptions!$E$12-Assumptions!$E$11)*0.25</f>
        <v>0.58749999999999991</v>
      </c>
      <c r="H9" s="55">
        <f>Assumptions!$E$11+(Assumptions!$E$12-Assumptions!$E$11)*0.5</f>
        <v>0.47499999999999998</v>
      </c>
      <c r="I9" s="55">
        <f>Assumptions!$E$11+(Assumptions!$E$12-Assumptions!$E$11)*0.75</f>
        <v>0.36249999999999999</v>
      </c>
      <c r="J9" s="55">
        <f>Assumptions!$E$11+(Assumptions!$E$12-Assumptions!$E$11)*1</f>
        <v>0.25</v>
      </c>
      <c r="K9" s="6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1" t="s">
        <v>266</v>
      </c>
      <c r="C10" s="57" t="str">
        <f>Input!C18</f>
        <v>n/a</v>
      </c>
      <c r="D10" s="57" t="str">
        <f>Input!D18</f>
        <v>n/a</v>
      </c>
      <c r="E10" s="57">
        <f>Input!E18</f>
        <v>3201</v>
      </c>
      <c r="F10" s="58">
        <f t="shared" ref="F10:J10" si="2">E10*(1+F9)</f>
        <v>5441.7</v>
      </c>
      <c r="G10" s="58">
        <f t="shared" si="2"/>
        <v>8638.6987499999996</v>
      </c>
      <c r="H10" s="58">
        <f t="shared" si="2"/>
        <v>12742.08065625</v>
      </c>
      <c r="I10" s="58">
        <f t="shared" si="2"/>
        <v>17361.084894140626</v>
      </c>
      <c r="J10" s="58">
        <f t="shared" si="2"/>
        <v>21701.356117675783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2"/>
      <c r="C11" s="59"/>
      <c r="D11" s="59"/>
      <c r="E11" s="5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1" t="s">
        <v>267</v>
      </c>
      <c r="C12" s="57">
        <f>Input!C15</f>
        <v>10387</v>
      </c>
      <c r="D12" s="57">
        <f>Input!D15</f>
        <v>14015</v>
      </c>
      <c r="E12" s="57">
        <f>Input!E15</f>
        <v>18674</v>
      </c>
      <c r="F12" s="58">
        <f t="shared" ref="F12:J12" si="3">SUM(F6,F8,F10)</f>
        <v>25227.030000000002</v>
      </c>
      <c r="G12" s="58">
        <f t="shared" si="3"/>
        <v>33432.92295</v>
      </c>
      <c r="H12" s="58">
        <f t="shared" si="3"/>
        <v>43013.355026249999</v>
      </c>
      <c r="I12" s="58">
        <f t="shared" si="3"/>
        <v>53210.420257340622</v>
      </c>
      <c r="J12" s="58">
        <f t="shared" si="3"/>
        <v>62751.900049459786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1" t="s">
        <v>268</v>
      </c>
      <c r="C13" s="2"/>
      <c r="D13" s="61">
        <f t="shared" ref="D13:J13" si="4">D12/C12-1</f>
        <v>0.34928275729276992</v>
      </c>
      <c r="E13" s="61">
        <f t="shared" si="4"/>
        <v>0.3324295397788084</v>
      </c>
      <c r="F13" s="61">
        <f t="shared" si="4"/>
        <v>0.35091731819642291</v>
      </c>
      <c r="G13" s="61">
        <f t="shared" si="4"/>
        <v>0.32528176919756291</v>
      </c>
      <c r="H13" s="61">
        <f t="shared" si="4"/>
        <v>0.28655681977246927</v>
      </c>
      <c r="I13" s="61">
        <f t="shared" si="4"/>
        <v>0.23706742301007688</v>
      </c>
      <c r="J13" s="61">
        <f t="shared" si="4"/>
        <v>0.1793160013766828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191" t="s">
        <v>269</v>
      </c>
      <c r="C15" s="192"/>
      <c r="D15" s="192"/>
      <c r="E15" s="192"/>
      <c r="F15" s="192"/>
      <c r="G15" s="192"/>
      <c r="H15" s="192"/>
      <c r="I15" s="192"/>
      <c r="J15" s="19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1" t="s">
        <v>270</v>
      </c>
      <c r="C16" s="57">
        <v>997</v>
      </c>
      <c r="D16" s="57">
        <v>1154</v>
      </c>
      <c r="E16" s="57">
        <v>653</v>
      </c>
      <c r="F16" s="2"/>
      <c r="G16" s="2"/>
      <c r="H16" s="2"/>
      <c r="I16" s="2"/>
      <c r="J16" s="2"/>
      <c r="K16" s="5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1" t="s">
        <v>271</v>
      </c>
      <c r="C17" s="2"/>
      <c r="D17" s="61"/>
      <c r="E17" s="61">
        <f>E16/E6</f>
        <v>0.15981399902104748</v>
      </c>
      <c r="F17" s="55">
        <f>Assumptions!$E$14+(Assumptions!$E$15-Assumptions!$E$14)*0</f>
        <v>0.18</v>
      </c>
      <c r="G17" s="55">
        <f>Assumptions!$E$14+(Assumptions!$E$15-Assumptions!$E$14)*0.25</f>
        <v>0.19500000000000001</v>
      </c>
      <c r="H17" s="55">
        <f>Assumptions!$E$14+(Assumptions!$E$15-Assumptions!$E$14)*0.5</f>
        <v>0.21</v>
      </c>
      <c r="I17" s="55">
        <f>Assumptions!$E$14+(Assumptions!$E$15-Assumptions!$E$14)*0.75</f>
        <v>0.22499999999999998</v>
      </c>
      <c r="J17" s="55">
        <f>Assumptions!$E$14+(Assumptions!$E$15-Assumptions!$E$14)*1</f>
        <v>0.24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1" t="s">
        <v>272</v>
      </c>
      <c r="C18" s="58">
        <f t="shared" ref="C18:E18" si="5">C16</f>
        <v>997</v>
      </c>
      <c r="D18" s="58">
        <f t="shared" si="5"/>
        <v>1154</v>
      </c>
      <c r="E18" s="58">
        <f t="shared" si="5"/>
        <v>653</v>
      </c>
      <c r="F18" s="62">
        <f>F6*F17*(1-Assumptions!$E$33)</f>
        <v>778.43203199999994</v>
      </c>
      <c r="G18" s="62">
        <f>G6*G17*(1-Assumptions!$E$33)</f>
        <v>919.19849112000009</v>
      </c>
      <c r="H18" s="62">
        <f>H6*H17*(1-Assumptions!$E$33)</f>
        <v>1088.896674096</v>
      </c>
      <c r="I18" s="62">
        <f>I6*I17*(1-Assumptions!$E$33)</f>
        <v>1295.0092588356001</v>
      </c>
      <c r="J18" s="62">
        <f>J6*J17*(1-Assumptions!$E$33)</f>
        <v>1547.1043945555971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1" t="s">
        <v>273</v>
      </c>
      <c r="C19" s="57">
        <v>1602</v>
      </c>
      <c r="D19" s="57">
        <v>3849</v>
      </c>
      <c r="E19" s="57">
        <v>7168</v>
      </c>
      <c r="F19" s="2"/>
      <c r="G19" s="2"/>
      <c r="H19" s="2"/>
      <c r="I19" s="2"/>
      <c r="J19" s="2"/>
      <c r="K19" s="5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1" t="s">
        <v>274</v>
      </c>
      <c r="C20" s="2"/>
      <c r="D20" s="2"/>
      <c r="E20" s="61">
        <f>E19/E8</f>
        <v>0.62948976903486431</v>
      </c>
      <c r="F20" s="55">
        <f>Assumptions!$E$16+(Assumptions!$E$17-Assumptions!$E$16)*0</f>
        <v>0.64</v>
      </c>
      <c r="G20" s="55">
        <f>Assumptions!$E$16+(Assumptions!$E$17-Assumptions!$E$16)*0.25</f>
        <v>0.65</v>
      </c>
      <c r="H20" s="55">
        <f>Assumptions!$E$16+(Assumptions!$E$17-Assumptions!$E$16)*0.5</f>
        <v>0.66</v>
      </c>
      <c r="I20" s="55">
        <f>Assumptions!$E$16+(Assumptions!$E$17-Assumptions!$E$16)*0.75</f>
        <v>0.67</v>
      </c>
      <c r="J20" s="55">
        <f>Assumptions!$E$16+(Assumptions!$E$17-Assumptions!$E$16)*1</f>
        <v>0.68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1" t="s">
        <v>275</v>
      </c>
      <c r="C21" s="58">
        <f t="shared" ref="C21:E21" si="6">C19</f>
        <v>1602</v>
      </c>
      <c r="D21" s="58">
        <f t="shared" si="6"/>
        <v>3849</v>
      </c>
      <c r="E21" s="58">
        <f t="shared" si="6"/>
        <v>7168</v>
      </c>
      <c r="F21" s="62">
        <f>F8*F20*(1-Assumptions!$E$33)</f>
        <v>9641.6006400000006</v>
      </c>
      <c r="G21" s="62">
        <f>G8*G20*(1-Assumptions!$E$33)</f>
        <v>12729.925845000002</v>
      </c>
      <c r="H21" s="62">
        <f>H8*H20*(1-Assumptions!$E$33)</f>
        <v>16157.213572500001</v>
      </c>
      <c r="I21" s="62">
        <f>I8*I20*(1-Assumptions!$E$33)</f>
        <v>19682.423806499999</v>
      </c>
      <c r="J21" s="62">
        <f>J8*J20*(1-Assumptions!$E$33)</f>
        <v>22972.620024899999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1" t="s">
        <v>276</v>
      </c>
      <c r="C22" s="57">
        <v>1222</v>
      </c>
      <c r="D22" s="57">
        <v>347</v>
      </c>
      <c r="E22" s="57">
        <v>-1237</v>
      </c>
      <c r="F22" s="2"/>
      <c r="G22" s="2"/>
      <c r="H22" s="2"/>
      <c r="I22" s="2"/>
      <c r="J22" s="2"/>
      <c r="K22" s="5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1" t="s">
        <v>277</v>
      </c>
      <c r="C23" s="2"/>
      <c r="D23" s="2"/>
      <c r="E23" s="61">
        <f>E22/E10</f>
        <v>-0.38644173695720085</v>
      </c>
      <c r="F23" s="55">
        <f>Assumptions!$E$18+(Assumptions!$E$19-Assumptions!$E$18)*0</f>
        <v>-0.2</v>
      </c>
      <c r="G23" s="55">
        <f>Assumptions!$E$18+(Assumptions!$E$19-Assumptions!$E$18)*0.25</f>
        <v>-0.08</v>
      </c>
      <c r="H23" s="55">
        <f>Assumptions!$E$18+(Assumptions!$E$19-Assumptions!$E$18)*0.5</f>
        <v>4.0000000000000008E-2</v>
      </c>
      <c r="I23" s="55">
        <f>Assumptions!$E$18+(Assumptions!$E$19-Assumptions!$E$18)*0.75</f>
        <v>0.16000000000000003</v>
      </c>
      <c r="J23" s="55">
        <f>Assumptions!$E$18+(Assumptions!$E$19-Assumptions!$E$18)*1</f>
        <v>0.28000000000000003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1" t="s">
        <v>278</v>
      </c>
      <c r="C24" s="58">
        <f t="shared" ref="C24:E24" si="7">C22</f>
        <v>1222</v>
      </c>
      <c r="D24" s="58">
        <f t="shared" si="7"/>
        <v>347</v>
      </c>
      <c r="E24" s="58">
        <f t="shared" si="7"/>
        <v>-1237</v>
      </c>
      <c r="F24" s="62">
        <f>F10*F23*(1-Assumptions!$E$33)</f>
        <v>-1066.5731999999998</v>
      </c>
      <c r="G24" s="62">
        <f>G10*G23*(1-Assumptions!$E$33)</f>
        <v>-677.27398200000005</v>
      </c>
      <c r="H24" s="62">
        <f>H10*H23*(1-Assumptions!$E$33)</f>
        <v>499.4895617250001</v>
      </c>
      <c r="I24" s="62">
        <f>I10*I23*(1-Assumptions!$E$33)</f>
        <v>2722.2181114012506</v>
      </c>
      <c r="J24" s="62">
        <f>J10*J23*(1-Assumptions!$E$33)</f>
        <v>5954.8521186902353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1" t="s">
        <v>279</v>
      </c>
      <c r="C26" s="58">
        <f t="shared" ref="C26:J26" si="8">SUM(C18,C21,C24)</f>
        <v>3821</v>
      </c>
      <c r="D26" s="58">
        <f t="shared" si="8"/>
        <v>5350</v>
      </c>
      <c r="E26" s="58">
        <f t="shared" si="8"/>
        <v>6584</v>
      </c>
      <c r="F26" s="58">
        <f t="shared" si="8"/>
        <v>9353.4594720000023</v>
      </c>
      <c r="G26" s="58">
        <f t="shared" si="8"/>
        <v>12971.850354120001</v>
      </c>
      <c r="H26" s="58">
        <f t="shared" si="8"/>
        <v>17745.599808321</v>
      </c>
      <c r="I26" s="58">
        <f t="shared" si="8"/>
        <v>23699.65117673685</v>
      </c>
      <c r="J26" s="58">
        <f t="shared" si="8"/>
        <v>30474.576538145833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1" t="s">
        <v>280</v>
      </c>
      <c r="C27" s="61">
        <f t="shared" ref="C27:J27" si="9">C26/C12</f>
        <v>0.36786367574853179</v>
      </c>
      <c r="D27" s="61">
        <f t="shared" si="9"/>
        <v>0.3817338565822333</v>
      </c>
      <c r="E27" s="61">
        <f t="shared" si="9"/>
        <v>0.35257577380314875</v>
      </c>
      <c r="F27" s="61">
        <f t="shared" si="9"/>
        <v>0.37077133027550219</v>
      </c>
      <c r="G27" s="61">
        <f t="shared" si="9"/>
        <v>0.38799629854439638</v>
      </c>
      <c r="H27" s="61">
        <f t="shared" si="9"/>
        <v>0.41256023385042373</v>
      </c>
      <c r="I27" s="61">
        <f t="shared" si="9"/>
        <v>0.44539492569535521</v>
      </c>
      <c r="J27" s="61">
        <f t="shared" si="9"/>
        <v>0.48563591722523758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191" t="s">
        <v>281</v>
      </c>
      <c r="C29" s="192"/>
      <c r="D29" s="192"/>
      <c r="E29" s="192"/>
      <c r="F29" s="192"/>
      <c r="G29" s="192"/>
      <c r="H29" s="192"/>
      <c r="I29" s="192"/>
      <c r="J29" s="19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1" t="s">
        <v>282</v>
      </c>
      <c r="C30" s="2"/>
      <c r="D30" s="2"/>
      <c r="E30" s="2"/>
      <c r="F30" s="58">
        <f>'BS &amp; CF Forecast'!F15</f>
        <v>5556.0325436142502</v>
      </c>
      <c r="G30" s="58">
        <f>'BS &amp; CF Forecast'!G15</f>
        <v>8022.7665630603979</v>
      </c>
      <c r="H30" s="58">
        <f>'BS &amp; CF Forecast'!H15</f>
        <v>10798.828818682636</v>
      </c>
      <c r="I30" s="58">
        <f>'BS &amp; CF Forecast'!I15</f>
        <v>13475.546923404554</v>
      </c>
      <c r="J30" s="58">
        <f>'BS &amp; CF Forecast'!J15</f>
        <v>15401.052876172389</v>
      </c>
      <c r="K30" s="5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1" t="s">
        <v>283</v>
      </c>
      <c r="C31" s="2"/>
      <c r="D31" s="2"/>
      <c r="E31" s="2"/>
      <c r="F31" s="58">
        <f>'BS &amp; CF Forecast'!F18</f>
        <v>630.67575000000011</v>
      </c>
      <c r="G31" s="58">
        <f>'BS &amp; CF Forecast'!G18</f>
        <v>835.82307375000005</v>
      </c>
      <c r="H31" s="58">
        <f>'BS &amp; CF Forecast'!H18</f>
        <v>1075.33387565625</v>
      </c>
      <c r="I31" s="58">
        <f>'BS &amp; CF Forecast'!I18</f>
        <v>1330.2605064335157</v>
      </c>
      <c r="J31" s="58">
        <f>'BS &amp; CF Forecast'!J18</f>
        <v>1568.7975012364948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1" t="s">
        <v>284</v>
      </c>
      <c r="C32" s="57">
        <f>Input!C28</f>
        <v>-3505</v>
      </c>
      <c r="D32" s="57">
        <f>Input!D28</f>
        <v>466</v>
      </c>
      <c r="E32" s="57">
        <f>Input!E28</f>
        <v>-2589</v>
      </c>
      <c r="F32" s="58">
        <f t="shared" ref="F32:J32" si="10">F26-F30-F31</f>
        <v>3166.7511783857517</v>
      </c>
      <c r="G32" s="58">
        <f t="shared" si="10"/>
        <v>4113.260717309603</v>
      </c>
      <c r="H32" s="58">
        <f t="shared" si="10"/>
        <v>5871.4371139821142</v>
      </c>
      <c r="I32" s="58">
        <f t="shared" si="10"/>
        <v>8893.8437468987795</v>
      </c>
      <c r="J32" s="58">
        <f t="shared" si="10"/>
        <v>13504.726160736949</v>
      </c>
      <c r="K32" s="56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1" t="s">
        <v>285</v>
      </c>
      <c r="C33" s="61">
        <f t="shared" ref="C33:J33" si="11">C32/C12</f>
        <v>-0.33744103205930492</v>
      </c>
      <c r="D33" s="61">
        <f t="shared" si="11"/>
        <v>3.325008919015341E-2</v>
      </c>
      <c r="E33" s="61">
        <f t="shared" si="11"/>
        <v>-0.13864196208632323</v>
      </c>
      <c r="F33" s="61">
        <f t="shared" si="11"/>
        <v>0.12553008334257942</v>
      </c>
      <c r="G33" s="61">
        <f t="shared" si="11"/>
        <v>0.12303024546974595</v>
      </c>
      <c r="H33" s="61">
        <f t="shared" si="11"/>
        <v>0.13650265389432933</v>
      </c>
      <c r="I33" s="61">
        <f t="shared" si="11"/>
        <v>0.16714477547603721</v>
      </c>
      <c r="J33" s="61">
        <f t="shared" si="11"/>
        <v>0.21520824309850053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191" t="s">
        <v>286</v>
      </c>
      <c r="C35" s="192"/>
      <c r="D35" s="192"/>
      <c r="E35" s="192"/>
      <c r="F35" s="192"/>
      <c r="G35" s="192"/>
      <c r="H35" s="192"/>
      <c r="I35" s="192"/>
      <c r="J35" s="19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1" t="s">
        <v>287</v>
      </c>
      <c r="C36" s="2"/>
      <c r="D36" s="2"/>
      <c r="E36" s="2"/>
      <c r="F36" s="58">
        <f>'BS &amp; CF Forecast'!F25</f>
        <v>-1136.1480000000001</v>
      </c>
      <c r="G36" s="58">
        <f>'BS &amp; CF Forecast'!G25</f>
        <v>-1079.3406</v>
      </c>
      <c r="H36" s="58">
        <f>'BS &amp; CF Forecast'!H25</f>
        <v>-1025.37357</v>
      </c>
      <c r="I36" s="58">
        <f>'BS &amp; CF Forecast'!I25</f>
        <v>-974.10489150000012</v>
      </c>
      <c r="J36" s="58">
        <f>'BS &amp; CF Forecast'!J25</f>
        <v>-925.39964692499996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1" t="s">
        <v>288</v>
      </c>
      <c r="C37" s="2"/>
      <c r="D37" s="2"/>
      <c r="E37" s="2"/>
      <c r="F37" s="58">
        <f>'BS &amp; CF Forecast'!F30</f>
        <v>3343.7062118606432</v>
      </c>
      <c r="G37" s="58">
        <f>'BS &amp; CF Forecast'!G30</f>
        <v>2877.3855050494121</v>
      </c>
      <c r="H37" s="58">
        <f>'BS &amp; CF Forecast'!H30</f>
        <v>2448.1901292491011</v>
      </c>
      <c r="I37" s="58">
        <f>'BS &amp; CF Forecast'!I30</f>
        <v>2202.2503707434867</v>
      </c>
      <c r="J37" s="58">
        <f>'BS &amp; CF Forecast'!J30</f>
        <v>2336.1703394201668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1" t="s">
        <v>289</v>
      </c>
      <c r="C38" s="2"/>
      <c r="D38" s="2"/>
      <c r="E38" s="2"/>
      <c r="F38" s="58">
        <f t="shared" ref="F38:J38" si="12">F32+F36+F37</f>
        <v>5374.3093902463952</v>
      </c>
      <c r="G38" s="58">
        <f t="shared" si="12"/>
        <v>5911.3056223590156</v>
      </c>
      <c r="H38" s="58">
        <f t="shared" si="12"/>
        <v>7294.2536732312155</v>
      </c>
      <c r="I38" s="58">
        <f t="shared" si="12"/>
        <v>10121.989226142266</v>
      </c>
      <c r="J38" s="58">
        <f t="shared" si="12"/>
        <v>14915.496853232116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1" t="s">
        <v>290</v>
      </c>
      <c r="C39" s="2"/>
      <c r="D39" s="2"/>
      <c r="E39" s="2"/>
      <c r="F39" s="55">
        <f>Assumptions!$E$37</f>
        <v>0.21</v>
      </c>
      <c r="G39" s="55">
        <f>Assumptions!$E$37</f>
        <v>0.21</v>
      </c>
      <c r="H39" s="55">
        <f>Assumptions!$E$37</f>
        <v>0.21</v>
      </c>
      <c r="I39" s="55">
        <f>Assumptions!$E$37</f>
        <v>0.21</v>
      </c>
      <c r="J39" s="55">
        <f>Assumptions!$E$37</f>
        <v>0.21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A40" s="2"/>
      <c r="B40" s="1" t="s">
        <v>291</v>
      </c>
      <c r="C40" s="2"/>
      <c r="D40" s="2"/>
      <c r="E40" s="2"/>
      <c r="F40" s="58">
        <f t="shared" ref="F40:J40" si="13">MAX(F38,0)*F39</f>
        <v>1128.604971951743</v>
      </c>
      <c r="G40" s="58">
        <f t="shared" si="13"/>
        <v>1241.3741806953933</v>
      </c>
      <c r="H40" s="58">
        <f t="shared" si="13"/>
        <v>1531.7932713785551</v>
      </c>
      <c r="I40" s="58">
        <f t="shared" si="13"/>
        <v>2125.6177374898757</v>
      </c>
      <c r="J40" s="58">
        <f t="shared" si="13"/>
        <v>3132.2543391787444</v>
      </c>
      <c r="K40" s="5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1" t="s">
        <v>292</v>
      </c>
      <c r="C41" s="57">
        <f>Input!C34</f>
        <v>-4628</v>
      </c>
      <c r="D41" s="57">
        <f>Input!D34</f>
        <v>791</v>
      </c>
      <c r="E41" s="57">
        <f>Input!E34</f>
        <v>-4937</v>
      </c>
      <c r="F41" s="58">
        <f t="shared" ref="F41:J41" si="14">F38-F40</f>
        <v>4245.704418294652</v>
      </c>
      <c r="G41" s="58">
        <f t="shared" si="14"/>
        <v>4669.9314416636225</v>
      </c>
      <c r="H41" s="58">
        <f t="shared" si="14"/>
        <v>5762.4604018526607</v>
      </c>
      <c r="I41" s="58">
        <f t="shared" si="14"/>
        <v>7996.3714886523903</v>
      </c>
      <c r="J41" s="58">
        <f t="shared" si="14"/>
        <v>11783.242514053372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1" t="s">
        <v>293</v>
      </c>
      <c r="C42" s="61">
        <f t="shared" ref="C42:J42" si="15">C41/C12</f>
        <v>-0.4455569461827284</v>
      </c>
      <c r="D42" s="61">
        <f t="shared" si="15"/>
        <v>5.6439529075990008E-2</v>
      </c>
      <c r="E42" s="61">
        <f t="shared" si="15"/>
        <v>-0.2643782799614437</v>
      </c>
      <c r="F42" s="61">
        <f t="shared" si="15"/>
        <v>0.16829981247474046</v>
      </c>
      <c r="G42" s="61">
        <f t="shared" si="15"/>
        <v>0.13968062106468088</v>
      </c>
      <c r="H42" s="61">
        <f t="shared" si="15"/>
        <v>0.13396909862846021</v>
      </c>
      <c r="I42" s="61">
        <f t="shared" si="15"/>
        <v>0.15027829981382743</v>
      </c>
      <c r="J42" s="61">
        <f t="shared" si="15"/>
        <v>0.18777507142837202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191" t="s">
        <v>294</v>
      </c>
      <c r="C44" s="192"/>
      <c r="D44" s="192"/>
      <c r="E44" s="192"/>
      <c r="F44" s="192"/>
      <c r="G44" s="192"/>
      <c r="H44" s="192"/>
      <c r="I44" s="192"/>
      <c r="J44" s="193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1" t="s">
        <v>295</v>
      </c>
      <c r="C45" s="2"/>
      <c r="D45" s="2"/>
      <c r="E45" s="2"/>
      <c r="F45" s="62">
        <f>Assumptions!$E$68</f>
        <v>13075.9</v>
      </c>
      <c r="G45" s="62">
        <f>Assumptions!$E$68</f>
        <v>13075.9</v>
      </c>
      <c r="H45" s="62">
        <f>Assumptions!$E$68</f>
        <v>13075.9</v>
      </c>
      <c r="I45" s="62">
        <f>Assumptions!$E$68</f>
        <v>13075.9</v>
      </c>
      <c r="J45" s="62">
        <f>Assumptions!$E$68</f>
        <v>13075.9</v>
      </c>
      <c r="K45" s="5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1" t="s">
        <v>296</v>
      </c>
      <c r="C46" s="63">
        <f>Input!C39</f>
        <v>-1.68</v>
      </c>
      <c r="D46" s="63">
        <f>Input!D39</f>
        <v>0</v>
      </c>
      <c r="E46" s="63">
        <f>Input!E39</f>
        <v>-1.69</v>
      </c>
      <c r="F46" s="64">
        <f t="shared" ref="F46:J46" si="16">F41/F45</f>
        <v>0.32469691709898763</v>
      </c>
      <c r="G46" s="64">
        <f t="shared" si="16"/>
        <v>0.35714034534247147</v>
      </c>
      <c r="H46" s="64">
        <f t="shared" si="16"/>
        <v>0.44069321437550463</v>
      </c>
      <c r="I46" s="64">
        <f t="shared" si="16"/>
        <v>0.6115350751116474</v>
      </c>
      <c r="J46" s="64">
        <f t="shared" si="16"/>
        <v>0.90114198747721941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6">
    <mergeCell ref="B44:J44"/>
    <mergeCell ref="B1:J1"/>
    <mergeCell ref="B4:J4"/>
    <mergeCell ref="B15:J15"/>
    <mergeCell ref="B29:J29"/>
    <mergeCell ref="B35:J35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4.44140625" defaultRowHeight="15" customHeight="1"/>
  <cols>
    <col min="1" max="1" width="2" customWidth="1"/>
    <col min="2" max="2" width="38" customWidth="1"/>
    <col min="3" max="10" width="12" customWidth="1"/>
    <col min="11" max="11" width="60" customWidth="1"/>
  </cols>
  <sheetData>
    <row r="1" spans="1:26" ht="17.25" customHeight="1">
      <c r="A1" s="2"/>
      <c r="B1" s="189" t="s">
        <v>297</v>
      </c>
      <c r="C1" s="190"/>
      <c r="D1" s="190"/>
      <c r="E1" s="190"/>
      <c r="F1" s="190"/>
      <c r="G1" s="190"/>
      <c r="H1" s="190"/>
      <c r="I1" s="190"/>
      <c r="J1" s="190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customHeight="1">
      <c r="A2" s="2"/>
      <c r="B2" s="194" t="s">
        <v>298</v>
      </c>
      <c r="C2" s="190"/>
      <c r="D2" s="190"/>
      <c r="E2" s="190"/>
      <c r="F2" s="190"/>
      <c r="G2" s="190"/>
      <c r="H2" s="190"/>
      <c r="I2" s="190"/>
      <c r="J2" s="19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/>
      <c r="B4" s="2"/>
      <c r="C4" s="54" t="s">
        <v>252</v>
      </c>
      <c r="D4" s="54" t="s">
        <v>253</v>
      </c>
      <c r="E4" s="54" t="s">
        <v>254</v>
      </c>
      <c r="F4" s="54" t="s">
        <v>255</v>
      </c>
      <c r="G4" s="54" t="s">
        <v>256</v>
      </c>
      <c r="H4" s="54" t="s">
        <v>257</v>
      </c>
      <c r="I4" s="54" t="s">
        <v>258</v>
      </c>
      <c r="J4" s="54" t="s">
        <v>259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191" t="s">
        <v>299</v>
      </c>
      <c r="C5" s="192"/>
      <c r="D5" s="192"/>
      <c r="E5" s="192"/>
      <c r="F5" s="192"/>
      <c r="G5" s="192"/>
      <c r="H5" s="192"/>
      <c r="I5" s="192"/>
      <c r="J5" s="19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1" t="s">
        <v>300</v>
      </c>
      <c r="C6" s="2"/>
      <c r="D6" s="2"/>
      <c r="E6" s="2"/>
      <c r="F6" s="57">
        <f>Input!E47</f>
        <v>42602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1" t="s">
        <v>301</v>
      </c>
      <c r="C7" s="2"/>
      <c r="D7" s="2"/>
      <c r="E7" s="2"/>
      <c r="F7" s="55">
        <f>Assumptions!$E$21+(Assumptions!$E$22-Assumptions!$E$21)*0</f>
        <v>0.85</v>
      </c>
      <c r="G7" s="55">
        <f>Assumptions!$E$21+(Assumptions!$E$22-Assumptions!$E$21)*0.25</f>
        <v>0.72499999999999998</v>
      </c>
      <c r="H7" s="55">
        <f>Assumptions!$E$21+(Assumptions!$E$22-Assumptions!$E$21)*0.5</f>
        <v>0.6</v>
      </c>
      <c r="I7" s="55">
        <f>Assumptions!$E$21+(Assumptions!$E$22-Assumptions!$E$21)*0.75</f>
        <v>0.47499999999999998</v>
      </c>
      <c r="J7" s="55">
        <f>Assumptions!$E$21+(Assumptions!$E$22-Assumptions!$E$21)*1</f>
        <v>0.35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1" t="s">
        <v>302</v>
      </c>
      <c r="C8" s="2"/>
      <c r="D8" s="2"/>
      <c r="E8" s="2"/>
      <c r="F8" s="58">
        <f>'IS Forecast'!F6*F7</f>
        <v>3750.9479999999999</v>
      </c>
      <c r="G8" s="58">
        <f>'IS Forecast'!G6*G7</f>
        <v>3487.2784200000001</v>
      </c>
      <c r="H8" s="58">
        <f>'IS Forecast'!H6*H7</f>
        <v>3174.6258720000001</v>
      </c>
      <c r="I8" s="58">
        <f>'IS Forecast'!I6*I7</f>
        <v>2789.70248502</v>
      </c>
      <c r="J8" s="58">
        <f>'IS Forecast'!J6*J7</f>
        <v>2302.2386823744005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1" t="s">
        <v>303</v>
      </c>
      <c r="C9" s="2"/>
      <c r="D9" s="2"/>
      <c r="E9" s="2"/>
      <c r="F9" s="55">
        <f>Assumptions!$E$23+(Assumptions!$E$24-Assumptions!$E$23)*0</f>
        <v>0.33</v>
      </c>
      <c r="G9" s="55">
        <f>Assumptions!$E$23+(Assumptions!$E$24-Assumptions!$E$23)*0.25</f>
        <v>0.28500000000000003</v>
      </c>
      <c r="H9" s="55">
        <f>Assumptions!$E$23+(Assumptions!$E$24-Assumptions!$E$23)*0.5</f>
        <v>0.24</v>
      </c>
      <c r="I9" s="55">
        <f>Assumptions!$E$23+(Assumptions!$E$24-Assumptions!$E$23)*0.75</f>
        <v>0.19500000000000001</v>
      </c>
      <c r="J9" s="55">
        <f>Assumptions!$E$23+(Assumptions!$E$24-Assumptions!$E$23)*1</f>
        <v>0.15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1" t="s">
        <v>304</v>
      </c>
      <c r="C10" s="2"/>
      <c r="D10" s="2"/>
      <c r="E10" s="2"/>
      <c r="F10" s="58">
        <f>'IS Forecast'!F8*F9</f>
        <v>5072.9085000000005</v>
      </c>
      <c r="G10" s="58">
        <f>'IS Forecast'!G8*G9</f>
        <v>5695.492725000001</v>
      </c>
      <c r="H10" s="58">
        <f>'IS Forecast'!H8*H9</f>
        <v>5995.2555000000002</v>
      </c>
      <c r="I10" s="58">
        <f>'IS Forecast'!I8*I9</f>
        <v>5845.3741125000006</v>
      </c>
      <c r="J10" s="58">
        <f>'IS Forecast'!J8*J9</f>
        <v>5170.9078687499996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1" t="s">
        <v>305</v>
      </c>
      <c r="C11" s="2"/>
      <c r="D11" s="2"/>
      <c r="E11" s="2"/>
      <c r="F11" s="55">
        <f>Assumptions!$E$25+(Assumptions!$E$26-Assumptions!$E$25)*0</f>
        <v>2.2000000000000002</v>
      </c>
      <c r="G11" s="55">
        <f>Assumptions!$E$25+(Assumptions!$E$26-Assumptions!$E$25)*0.25</f>
        <v>1.7750000000000001</v>
      </c>
      <c r="H11" s="55">
        <f>Assumptions!$E$25+(Assumptions!$E$26-Assumptions!$E$25)*0.5</f>
        <v>1.35</v>
      </c>
      <c r="I11" s="55">
        <f>Assumptions!$E$25+(Assumptions!$E$26-Assumptions!$E$25)*0.75</f>
        <v>0.92500000000000004</v>
      </c>
      <c r="J11" s="55">
        <f>Assumptions!$E$25+(Assumptions!$E$26-Assumptions!$E$25)*1</f>
        <v>0.5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1" t="s">
        <v>306</v>
      </c>
      <c r="C12" s="2"/>
      <c r="D12" s="2"/>
      <c r="E12" s="2"/>
      <c r="F12" s="58">
        <f>'IS Forecast'!F10*F11</f>
        <v>11971.74</v>
      </c>
      <c r="G12" s="58">
        <f>'IS Forecast'!G10*G11</f>
        <v>15333.690281250001</v>
      </c>
      <c r="H12" s="58">
        <f>'IS Forecast'!H10*H11</f>
        <v>17201.808885937502</v>
      </c>
      <c r="I12" s="58">
        <f>'IS Forecast'!I10*I11</f>
        <v>16059.00352708008</v>
      </c>
      <c r="J12" s="58">
        <f>'IS Forecast'!J10*J11</f>
        <v>10850.678058837892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1" t="s">
        <v>307</v>
      </c>
      <c r="C13" s="2"/>
      <c r="D13" s="2"/>
      <c r="E13" s="2"/>
      <c r="F13" s="58">
        <f t="shared" ref="F13:J13" si="0">F8+F10+F12</f>
        <v>20795.5965</v>
      </c>
      <c r="G13" s="58">
        <f t="shared" si="0"/>
        <v>24516.461426250004</v>
      </c>
      <c r="H13" s="58">
        <f t="shared" si="0"/>
        <v>26371.690257937502</v>
      </c>
      <c r="I13" s="58">
        <f t="shared" si="0"/>
        <v>24694.080124600081</v>
      </c>
      <c r="J13" s="58">
        <f t="shared" si="0"/>
        <v>18323.824609962292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1" t="s">
        <v>308</v>
      </c>
      <c r="C14" s="2"/>
      <c r="D14" s="2"/>
      <c r="E14" s="2"/>
      <c r="F14" s="65">
        <f>('IS Forecast'!F6/'IS Forecast'!F12)*Assumptions!$E$28+('IS Forecast'!F8/'IS Forecast'!F12)*Assumptions!$E$29+('IS Forecast'!F10/'IS Forecast'!F12)*Assumptions!$E$30</f>
        <v>7.6677016676160443</v>
      </c>
      <c r="G14" s="65">
        <f>('IS Forecast'!G6/'IS Forecast'!G12)*Assumptions!$E$28+('IS Forecast'!G8/'IS Forecast'!G12)*Assumptions!$E$29+('IS Forecast'!G10/'IS Forecast'!G12)*Assumptions!$E$30</f>
        <v>7.2096780458138205</v>
      </c>
      <c r="H14" s="65">
        <f>('IS Forecast'!H6/'IS Forecast'!H12)*Assumptions!$E$28+('IS Forecast'!H8/'IS Forecast'!H12)*Assumptions!$E$29+('IS Forecast'!H10/'IS Forecast'!H12)*Assumptions!$E$30</f>
        <v>6.8836408158420657</v>
      </c>
      <c r="I14" s="65">
        <f>('IS Forecast'!I6/'IS Forecast'!I12)*Assumptions!$E$28+('IS Forecast'!I8/'IS Forecast'!I12)*Assumptions!$E$29+('IS Forecast'!I10/'IS Forecast'!I12)*Assumptions!$E$30</f>
        <v>6.6719459158037058</v>
      </c>
      <c r="J14" s="65">
        <f>('IS Forecast'!J6/'IS Forecast'!J12)*Assumptions!$E$28+('IS Forecast'!J8/'IS Forecast'!J12)*Assumptions!$E$29+('IS Forecast'!J10/'IS Forecast'!J12)*Assumptions!$E$30</f>
        <v>6.5662168861508805</v>
      </c>
      <c r="K14" s="6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1" t="s">
        <v>309</v>
      </c>
      <c r="C15" s="2"/>
      <c r="D15" s="2"/>
      <c r="E15" s="2"/>
      <c r="F15" s="58">
        <f>F6/F14</f>
        <v>5556.0325436142502</v>
      </c>
      <c r="G15" s="58">
        <f t="shared" ref="G15:J15" si="1">F16/G14</f>
        <v>8022.7665630603979</v>
      </c>
      <c r="H15" s="58">
        <f t="shared" si="1"/>
        <v>10798.828818682636</v>
      </c>
      <c r="I15" s="58">
        <f t="shared" si="1"/>
        <v>13475.546923404554</v>
      </c>
      <c r="J15" s="58">
        <f t="shared" si="1"/>
        <v>15401.052876172389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1" t="s">
        <v>310</v>
      </c>
      <c r="C16" s="2"/>
      <c r="D16" s="2"/>
      <c r="E16" s="2"/>
      <c r="F16" s="58">
        <f>F6+F13-F15</f>
        <v>57841.563956385748</v>
      </c>
      <c r="G16" s="58">
        <f t="shared" ref="G16:J16" si="2">F16+G13-G15</f>
        <v>74335.258819575349</v>
      </c>
      <c r="H16" s="58">
        <f t="shared" si="2"/>
        <v>89908.120258830211</v>
      </c>
      <c r="I16" s="58">
        <f t="shared" si="2"/>
        <v>101126.65346002573</v>
      </c>
      <c r="J16" s="58">
        <f t="shared" si="2"/>
        <v>104049.42519381564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1" t="s">
        <v>311</v>
      </c>
      <c r="C17" s="2"/>
      <c r="D17" s="2"/>
      <c r="E17" s="2"/>
      <c r="F17" s="55">
        <f>Assumptions!$E$32</f>
        <v>2.5000000000000001E-2</v>
      </c>
      <c r="G17" s="55">
        <f>Assumptions!$E$32</f>
        <v>2.5000000000000001E-2</v>
      </c>
      <c r="H17" s="55">
        <f>Assumptions!$E$32</f>
        <v>2.5000000000000001E-2</v>
      </c>
      <c r="I17" s="55">
        <f>Assumptions!$E$32</f>
        <v>2.5000000000000001E-2</v>
      </c>
      <c r="J17" s="55">
        <f>Assumptions!$E$32</f>
        <v>2.5000000000000001E-2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1" t="s">
        <v>283</v>
      </c>
      <c r="C18" s="2"/>
      <c r="D18" s="2"/>
      <c r="E18" s="2"/>
      <c r="F18" s="58">
        <f>'IS Forecast'!F12*F17</f>
        <v>630.67575000000011</v>
      </c>
      <c r="G18" s="58">
        <f>'IS Forecast'!G12*G17</f>
        <v>835.82307375000005</v>
      </c>
      <c r="H18" s="58">
        <f>'IS Forecast'!H12*H17</f>
        <v>1075.33387565625</v>
      </c>
      <c r="I18" s="58">
        <f>'IS Forecast'!I12*I17</f>
        <v>1330.2605064335157</v>
      </c>
      <c r="J18" s="58">
        <f>'IS Forecast'!J12*J17</f>
        <v>1568.7975012364948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191" t="s">
        <v>312</v>
      </c>
      <c r="C20" s="192"/>
      <c r="D20" s="192"/>
      <c r="E20" s="192"/>
      <c r="F20" s="192"/>
      <c r="G20" s="192"/>
      <c r="H20" s="192"/>
      <c r="I20" s="192"/>
      <c r="J20" s="19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1" t="s">
        <v>313</v>
      </c>
      <c r="C21" s="2"/>
      <c r="D21" s="2"/>
      <c r="E21" s="2"/>
      <c r="F21" s="62">
        <f>Assumptions!$E$62</f>
        <v>29132</v>
      </c>
      <c r="G21" s="58">
        <f t="shared" ref="G21:J21" si="3">F23</f>
        <v>27675.4</v>
      </c>
      <c r="H21" s="58">
        <f t="shared" si="3"/>
        <v>26291.63</v>
      </c>
      <c r="I21" s="58">
        <f t="shared" si="3"/>
        <v>24977.048500000001</v>
      </c>
      <c r="J21" s="58">
        <f t="shared" si="3"/>
        <v>23728.196075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1" t="s">
        <v>314</v>
      </c>
      <c r="C22" s="2"/>
      <c r="D22" s="2"/>
      <c r="E22" s="2"/>
      <c r="F22" s="62">
        <f>F21*Assumptions!$E$43</f>
        <v>1456.6000000000001</v>
      </c>
      <c r="G22" s="62">
        <f>G21*Assumptions!$E$43</f>
        <v>1383.7700000000002</v>
      </c>
      <c r="H22" s="62">
        <f>H21*Assumptions!$E$43</f>
        <v>1314.5815000000002</v>
      </c>
      <c r="I22" s="62">
        <f>I21*Assumptions!$E$43</f>
        <v>1248.852425</v>
      </c>
      <c r="J22" s="62">
        <f>J21*Assumptions!$E$43</f>
        <v>1186.40980375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1" t="s">
        <v>315</v>
      </c>
      <c r="C23" s="2"/>
      <c r="D23" s="2"/>
      <c r="E23" s="2"/>
      <c r="F23" s="58">
        <f t="shared" ref="F23:J23" si="4">F21-F22</f>
        <v>27675.4</v>
      </c>
      <c r="G23" s="58">
        <f t="shared" si="4"/>
        <v>26291.63</v>
      </c>
      <c r="H23" s="58">
        <f t="shared" si="4"/>
        <v>24977.048500000001</v>
      </c>
      <c r="I23" s="58">
        <f t="shared" si="4"/>
        <v>23728.196075</v>
      </c>
      <c r="J23" s="58">
        <f t="shared" si="4"/>
        <v>22541.786271249999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1" t="s">
        <v>316</v>
      </c>
      <c r="C24" s="2"/>
      <c r="D24" s="2"/>
      <c r="E24" s="2"/>
      <c r="F24" s="58">
        <f t="shared" ref="F24:J24" si="5">AVERAGE(F21,F23)</f>
        <v>28403.7</v>
      </c>
      <c r="G24" s="58">
        <f t="shared" si="5"/>
        <v>26983.514999999999</v>
      </c>
      <c r="H24" s="58">
        <f t="shared" si="5"/>
        <v>25634.339250000001</v>
      </c>
      <c r="I24" s="58">
        <f t="shared" si="5"/>
        <v>24352.622287500002</v>
      </c>
      <c r="J24" s="58">
        <f t="shared" si="5"/>
        <v>23134.991173124999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1" t="s">
        <v>287</v>
      </c>
      <c r="C25" s="2"/>
      <c r="D25" s="2"/>
      <c r="E25" s="2"/>
      <c r="F25" s="62">
        <f>-F24*Assumptions!$E$42</f>
        <v>-1136.1480000000001</v>
      </c>
      <c r="G25" s="62">
        <f>-G24*Assumptions!$E$42</f>
        <v>-1079.3406</v>
      </c>
      <c r="H25" s="62">
        <f>-H24*Assumptions!$E$42</f>
        <v>-1025.37357</v>
      </c>
      <c r="I25" s="62">
        <f>-I24*Assumptions!$E$42</f>
        <v>-974.10489150000012</v>
      </c>
      <c r="J25" s="62">
        <f>-J24*Assumptions!$E$42</f>
        <v>-925.39964692499996</v>
      </c>
      <c r="K25" s="56" t="s">
        <v>317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191" t="s">
        <v>318</v>
      </c>
      <c r="C27" s="192"/>
      <c r="D27" s="192"/>
      <c r="E27" s="192"/>
      <c r="F27" s="192"/>
      <c r="G27" s="192"/>
      <c r="H27" s="192"/>
      <c r="I27" s="192"/>
      <c r="J27" s="193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1" t="s">
        <v>319</v>
      </c>
      <c r="C28" s="2"/>
      <c r="D28" s="2"/>
      <c r="E28" s="2"/>
      <c r="F28" s="62">
        <f>Assumptions!$E$65</f>
        <v>90252</v>
      </c>
      <c r="G28" s="58">
        <f t="shared" ref="G28:J28" si="6">F59</f>
        <v>78677.28158040205</v>
      </c>
      <c r="H28" s="58">
        <f t="shared" si="6"/>
        <v>66612.449147057574</v>
      </c>
      <c r="I28" s="58">
        <f t="shared" si="6"/>
        <v>56921.082397204256</v>
      </c>
      <c r="J28" s="58">
        <f t="shared" si="6"/>
        <v>54161.67106857241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1" t="s">
        <v>320</v>
      </c>
      <c r="C29" s="2"/>
      <c r="D29" s="2"/>
      <c r="E29" s="2"/>
      <c r="F29" s="66">
        <f>Assumptions!$E$42</f>
        <v>0.04</v>
      </c>
      <c r="G29" s="66">
        <f>Assumptions!$E$42</f>
        <v>0.04</v>
      </c>
      <c r="H29" s="66">
        <f>Assumptions!$E$42</f>
        <v>0.04</v>
      </c>
      <c r="I29" s="66">
        <f>Assumptions!$E$42</f>
        <v>0.04</v>
      </c>
      <c r="J29" s="66">
        <f>Assumptions!$E$42</f>
        <v>0.04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1" t="s">
        <v>288</v>
      </c>
      <c r="C30" s="2"/>
      <c r="D30" s="2"/>
      <c r="E30" s="2"/>
      <c r="F30" s="58">
        <f t="shared" ref="F30:J30" si="7">AVERAGE(F28,F31)*F29</f>
        <v>3343.7062118606432</v>
      </c>
      <c r="G30" s="58">
        <f t="shared" si="7"/>
        <v>2877.3855050494121</v>
      </c>
      <c r="H30" s="58">
        <f t="shared" si="7"/>
        <v>2448.1901292491011</v>
      </c>
      <c r="I30" s="58">
        <f t="shared" si="7"/>
        <v>2202.2503707434867</v>
      </c>
      <c r="J30" s="58">
        <f t="shared" si="7"/>
        <v>2336.1703394201668</v>
      </c>
      <c r="K30" s="56" t="s">
        <v>321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16" t="s">
        <v>322</v>
      </c>
      <c r="C31" s="2"/>
      <c r="D31" s="2"/>
      <c r="E31" s="2"/>
      <c r="F31" s="62">
        <f>F28+('IS Forecast'!F32*(1-Assumptions!$E$37)+F15+F18+F46)+(-F13)+(-F22)</f>
        <v>76933.310593032147</v>
      </c>
      <c r="G31" s="62">
        <f>F59+('IS Forecast'!G32*(1-Assumptions!$E$37)+G15+G18+G46)+(-G13)+(-G22)</f>
        <v>65191.993672068544</v>
      </c>
      <c r="H31" s="62">
        <f>G59+('IS Forecast'!H32*(1-Assumptions!$E$37)+H15+H18+H46)+(-H13)+(-H22)</f>
        <v>55797.057315397469</v>
      </c>
      <c r="I31" s="62">
        <f>H59+('IS Forecast'!I32*(1-Assumptions!$E$37)+I15+I18+I46)+(-I13)+(-I22)</f>
        <v>53191.436139970065</v>
      </c>
      <c r="J31" s="62">
        <f>I59+('IS Forecast'!J32*(1-Assumptions!$E$37)+J15+J18+J46)+(-J13)+(-J22)</f>
        <v>62646.845902435925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191" t="s">
        <v>323</v>
      </c>
      <c r="C32" s="192"/>
      <c r="D32" s="192"/>
      <c r="E32" s="192"/>
      <c r="F32" s="192"/>
      <c r="G32" s="192"/>
      <c r="H32" s="192"/>
      <c r="I32" s="192"/>
      <c r="J32" s="193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1" t="s">
        <v>324</v>
      </c>
      <c r="C33" s="2"/>
      <c r="D33" s="2"/>
      <c r="E33" s="67">
        <f>Assumptions!$E$34</f>
        <v>20</v>
      </c>
      <c r="F33" s="67">
        <f>Assumptions!$E$34</f>
        <v>20</v>
      </c>
      <c r="G33" s="67">
        <f>Assumptions!$E$34</f>
        <v>20</v>
      </c>
      <c r="H33" s="67">
        <f>Assumptions!$E$34</f>
        <v>20</v>
      </c>
      <c r="I33" s="67">
        <f>Assumptions!$E$34</f>
        <v>20</v>
      </c>
      <c r="J33" s="67">
        <f>Assumptions!$E$34</f>
        <v>20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1" t="s">
        <v>325</v>
      </c>
      <c r="C34" s="2"/>
      <c r="D34" s="2"/>
      <c r="E34" s="58">
        <f>Input!E15/365*E33</f>
        <v>1023.2328767123288</v>
      </c>
      <c r="F34" s="58">
        <f>'IS Forecast'!F12/365*F33</f>
        <v>1382.3030136986301</v>
      </c>
      <c r="G34" s="58">
        <f>'IS Forecast'!G12/365*G33</f>
        <v>1831.9409835616439</v>
      </c>
      <c r="H34" s="58">
        <f>'IS Forecast'!H12/365*H33</f>
        <v>2356.8961658219177</v>
      </c>
      <c r="I34" s="58">
        <f>'IS Forecast'!I12/365*I33</f>
        <v>2915.6394661556506</v>
      </c>
      <c r="J34" s="58">
        <f>'IS Forecast'!J12/365*J33</f>
        <v>3438.4602766827284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1" t="s">
        <v>87</v>
      </c>
      <c r="C35" s="2"/>
      <c r="D35" s="2"/>
      <c r="E35" s="67">
        <f>Assumptions!$E$35</f>
        <v>15</v>
      </c>
      <c r="F35" s="67">
        <f>Assumptions!$E$35</f>
        <v>15</v>
      </c>
      <c r="G35" s="67">
        <f>Assumptions!$E$35</f>
        <v>15</v>
      </c>
      <c r="H35" s="67">
        <f>Assumptions!$E$35</f>
        <v>15</v>
      </c>
      <c r="I35" s="67">
        <f>Assumptions!$E$35</f>
        <v>15</v>
      </c>
      <c r="J35" s="67">
        <f>Assumptions!$E$35</f>
        <v>15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1" t="s">
        <v>326</v>
      </c>
      <c r="C36" s="2"/>
      <c r="D36" s="2"/>
      <c r="E36" s="58">
        <f>Input!E15/365*E35</f>
        <v>767.42465753424653</v>
      </c>
      <c r="F36" s="58">
        <f>'IS Forecast'!F12/365*F35</f>
        <v>1036.7272602739727</v>
      </c>
      <c r="G36" s="58">
        <f>'IS Forecast'!G12/365*G35</f>
        <v>1373.9557376712328</v>
      </c>
      <c r="H36" s="58">
        <f>'IS Forecast'!H12/365*H35</f>
        <v>1767.6721243664383</v>
      </c>
      <c r="I36" s="58">
        <f>'IS Forecast'!I12/365*I35</f>
        <v>2186.7295996167377</v>
      </c>
      <c r="J36" s="58">
        <f>'IS Forecast'!J12/365*J35</f>
        <v>2578.8452075120463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1" t="s">
        <v>327</v>
      </c>
      <c r="C37" s="2"/>
      <c r="D37" s="2"/>
      <c r="E37" s="55">
        <f>Assumptions!$E$39</f>
        <v>0.04</v>
      </c>
      <c r="F37" s="55">
        <f>Assumptions!$E$39</f>
        <v>0.04</v>
      </c>
      <c r="G37" s="55">
        <f>Assumptions!$E$39</f>
        <v>0.04</v>
      </c>
      <c r="H37" s="55">
        <f>Assumptions!$E$39</f>
        <v>0.04</v>
      </c>
      <c r="I37" s="55">
        <f>Assumptions!$E$39</f>
        <v>0.04</v>
      </c>
      <c r="J37" s="55">
        <f>Assumptions!$E$39</f>
        <v>0.04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1" t="s">
        <v>328</v>
      </c>
      <c r="C38" s="2"/>
      <c r="D38" s="2"/>
      <c r="E38" s="58">
        <f>Input!E15*E37</f>
        <v>746.96</v>
      </c>
      <c r="F38" s="58">
        <f>'IS Forecast'!F12*F37</f>
        <v>1009.0812000000001</v>
      </c>
      <c r="G38" s="58">
        <f>'IS Forecast'!G12*G37</f>
        <v>1337.316918</v>
      </c>
      <c r="H38" s="58">
        <f>'IS Forecast'!H12*H37</f>
        <v>1720.5342010500001</v>
      </c>
      <c r="I38" s="58">
        <f>'IS Forecast'!I12*I37</f>
        <v>2128.4168102936251</v>
      </c>
      <c r="J38" s="58">
        <f>'IS Forecast'!J12*J37</f>
        <v>2510.0760019783916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1" t="s">
        <v>329</v>
      </c>
      <c r="C39" s="2"/>
      <c r="D39" s="2"/>
      <c r="E39" s="58">
        <f t="shared" ref="E39:J39" si="8">SUM(E34,E36,E38)</f>
        <v>2537.6175342465754</v>
      </c>
      <c r="F39" s="58">
        <f t="shared" si="8"/>
        <v>3428.1114739726031</v>
      </c>
      <c r="G39" s="58">
        <f t="shared" si="8"/>
        <v>4543.2136392328766</v>
      </c>
      <c r="H39" s="58">
        <f t="shared" si="8"/>
        <v>5845.1024912383555</v>
      </c>
      <c r="I39" s="58">
        <f t="shared" si="8"/>
        <v>7230.7858760660129</v>
      </c>
      <c r="J39" s="58">
        <f t="shared" si="8"/>
        <v>8527.3814861731662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1" t="s">
        <v>89</v>
      </c>
      <c r="C40" s="2"/>
      <c r="D40" s="2"/>
      <c r="E40" s="67">
        <f>Assumptions!$E$36</f>
        <v>45</v>
      </c>
      <c r="F40" s="67">
        <f>Assumptions!$E$36</f>
        <v>45</v>
      </c>
      <c r="G40" s="67">
        <f>Assumptions!$E$36</f>
        <v>45</v>
      </c>
      <c r="H40" s="67">
        <f>Assumptions!$E$36</f>
        <v>45</v>
      </c>
      <c r="I40" s="67">
        <f>Assumptions!$E$36</f>
        <v>45</v>
      </c>
      <c r="J40" s="67">
        <f>Assumptions!$E$36</f>
        <v>45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1" t="s">
        <v>330</v>
      </c>
      <c r="C41" s="2"/>
      <c r="D41" s="2"/>
      <c r="E41" s="58">
        <f>Input!E15/365*E40</f>
        <v>2302.2739726027398</v>
      </c>
      <c r="F41" s="58">
        <f>'IS Forecast'!F12/365*F40</f>
        <v>3110.181780821918</v>
      </c>
      <c r="G41" s="58">
        <f>'IS Forecast'!G12/365*G40</f>
        <v>4121.8672130136983</v>
      </c>
      <c r="H41" s="58">
        <f>'IS Forecast'!H12/365*H40</f>
        <v>5303.0163730993154</v>
      </c>
      <c r="I41" s="58">
        <f>'IS Forecast'!I12/365*I40</f>
        <v>6560.1887988502131</v>
      </c>
      <c r="J41" s="58">
        <f>'IS Forecast'!J12/365*J40</f>
        <v>7736.5356225361384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1" t="s">
        <v>331</v>
      </c>
      <c r="C42" s="2"/>
      <c r="D42" s="2"/>
      <c r="E42" s="55">
        <f>Assumptions!$E$40</f>
        <v>0.05</v>
      </c>
      <c r="F42" s="55">
        <f>Assumptions!$E$40</f>
        <v>0.05</v>
      </c>
      <c r="G42" s="55">
        <f>Assumptions!$E$40</f>
        <v>0.05</v>
      </c>
      <c r="H42" s="55">
        <f>Assumptions!$E$40</f>
        <v>0.05</v>
      </c>
      <c r="I42" s="55">
        <f>Assumptions!$E$40</f>
        <v>0.05</v>
      </c>
      <c r="J42" s="55">
        <f>Assumptions!$E$40</f>
        <v>0.05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1" t="s">
        <v>332</v>
      </c>
      <c r="C43" s="2"/>
      <c r="D43" s="2"/>
      <c r="E43" s="58">
        <f>Input!E15*E42</f>
        <v>933.7</v>
      </c>
      <c r="F43" s="58">
        <f>'IS Forecast'!F12*F42</f>
        <v>1261.3515000000002</v>
      </c>
      <c r="G43" s="58">
        <f>'IS Forecast'!G12*G42</f>
        <v>1671.6461475000001</v>
      </c>
      <c r="H43" s="58">
        <f>'IS Forecast'!H12*H42</f>
        <v>2150.6677513125001</v>
      </c>
      <c r="I43" s="58">
        <f>'IS Forecast'!I12*I42</f>
        <v>2660.5210128670315</v>
      </c>
      <c r="J43" s="58">
        <f>'IS Forecast'!J12*J42</f>
        <v>3137.5950024729896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1" t="s">
        <v>333</v>
      </c>
      <c r="C44" s="2"/>
      <c r="D44" s="2"/>
      <c r="E44" s="58">
        <f t="shared" ref="E44:J44" si="9">SUM(E41,E43)</f>
        <v>3235.9739726027401</v>
      </c>
      <c r="F44" s="58">
        <f t="shared" si="9"/>
        <v>4371.5332808219182</v>
      </c>
      <c r="G44" s="58">
        <f t="shared" si="9"/>
        <v>5793.513360513698</v>
      </c>
      <c r="H44" s="58">
        <f t="shared" si="9"/>
        <v>7453.684124411815</v>
      </c>
      <c r="I44" s="58">
        <f t="shared" si="9"/>
        <v>9220.7098117172445</v>
      </c>
      <c r="J44" s="58">
        <f t="shared" si="9"/>
        <v>10874.130625009127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1" t="s">
        <v>334</v>
      </c>
      <c r="C45" s="2"/>
      <c r="D45" s="2"/>
      <c r="E45" s="58">
        <f t="shared" ref="E45:J45" si="10">E39-E44</f>
        <v>-698.35643835616474</v>
      </c>
      <c r="F45" s="58">
        <f t="shared" si="10"/>
        <v>-943.42180684931509</v>
      </c>
      <c r="G45" s="58">
        <f t="shared" si="10"/>
        <v>-1250.2997212808214</v>
      </c>
      <c r="H45" s="58">
        <f t="shared" si="10"/>
        <v>-1608.5816331734595</v>
      </c>
      <c r="I45" s="58">
        <f t="shared" si="10"/>
        <v>-1989.9239356512317</v>
      </c>
      <c r="J45" s="58">
        <f t="shared" si="10"/>
        <v>-2346.7491388359613</v>
      </c>
      <c r="K45" s="5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1" t="s">
        <v>335</v>
      </c>
      <c r="C46" s="2"/>
      <c r="D46" s="2"/>
      <c r="E46" s="2"/>
      <c r="F46" s="58">
        <f t="shared" ref="F46:J46" si="11">-(F45-E45)</f>
        <v>245.06536849315034</v>
      </c>
      <c r="G46" s="58">
        <f t="shared" si="11"/>
        <v>306.87791443150627</v>
      </c>
      <c r="H46" s="58">
        <f t="shared" si="11"/>
        <v>358.28191189263816</v>
      </c>
      <c r="I46" s="58">
        <f t="shared" si="11"/>
        <v>381.34230247777214</v>
      </c>
      <c r="J46" s="58">
        <f t="shared" si="11"/>
        <v>356.82520318472962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191" t="s">
        <v>336</v>
      </c>
      <c r="C48" s="192"/>
      <c r="D48" s="192"/>
      <c r="E48" s="192"/>
      <c r="F48" s="192"/>
      <c r="G48" s="192"/>
      <c r="H48" s="192"/>
      <c r="I48" s="192"/>
      <c r="J48" s="193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1" t="s">
        <v>292</v>
      </c>
      <c r="C49" s="2"/>
      <c r="D49" s="2"/>
      <c r="E49" s="2"/>
      <c r="F49" s="68">
        <f>'IS Forecast'!F41</f>
        <v>4245.704418294652</v>
      </c>
      <c r="G49" s="68">
        <f>'IS Forecast'!G41</f>
        <v>4669.9314416636225</v>
      </c>
      <c r="H49" s="68">
        <f>'IS Forecast'!H41</f>
        <v>5762.4604018526607</v>
      </c>
      <c r="I49" s="68">
        <f>'IS Forecast'!I41</f>
        <v>7996.3714886523903</v>
      </c>
      <c r="J49" s="68">
        <f>'IS Forecast'!J41</f>
        <v>11783.242514053372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1" t="s">
        <v>337</v>
      </c>
      <c r="C50" s="2"/>
      <c r="D50" s="2"/>
      <c r="E50" s="2"/>
      <c r="F50" s="58">
        <f t="shared" ref="F50:J50" si="12">F15</f>
        <v>5556.0325436142502</v>
      </c>
      <c r="G50" s="58">
        <f t="shared" si="12"/>
        <v>8022.7665630603979</v>
      </c>
      <c r="H50" s="58">
        <f t="shared" si="12"/>
        <v>10798.828818682636</v>
      </c>
      <c r="I50" s="58">
        <f t="shared" si="12"/>
        <v>13475.546923404554</v>
      </c>
      <c r="J50" s="58">
        <f t="shared" si="12"/>
        <v>15401.052876172389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1" t="s">
        <v>338</v>
      </c>
      <c r="C51" s="2"/>
      <c r="D51" s="2"/>
      <c r="E51" s="2"/>
      <c r="F51" s="58">
        <f t="shared" ref="F51:J51" si="13">F18</f>
        <v>630.67575000000011</v>
      </c>
      <c r="G51" s="58">
        <f t="shared" si="13"/>
        <v>835.82307375000005</v>
      </c>
      <c r="H51" s="58">
        <f t="shared" si="13"/>
        <v>1075.33387565625</v>
      </c>
      <c r="I51" s="58">
        <f t="shared" si="13"/>
        <v>1330.2605064335157</v>
      </c>
      <c r="J51" s="58">
        <f t="shared" si="13"/>
        <v>1568.7975012364948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1" t="s">
        <v>339</v>
      </c>
      <c r="C52" s="2"/>
      <c r="D52" s="2"/>
      <c r="E52" s="2"/>
      <c r="F52" s="58">
        <f t="shared" ref="F52:J52" si="14">F46</f>
        <v>245.06536849315034</v>
      </c>
      <c r="G52" s="58">
        <f t="shared" si="14"/>
        <v>306.87791443150627</v>
      </c>
      <c r="H52" s="58">
        <f t="shared" si="14"/>
        <v>358.28191189263816</v>
      </c>
      <c r="I52" s="58">
        <f t="shared" si="14"/>
        <v>381.34230247777214</v>
      </c>
      <c r="J52" s="58">
        <f t="shared" si="14"/>
        <v>356.82520318472962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1" t="s">
        <v>340</v>
      </c>
      <c r="C53" s="2"/>
      <c r="D53" s="2"/>
      <c r="E53" s="2"/>
      <c r="F53" s="58">
        <f t="shared" ref="F53:J53" si="15">SUM(F49:F52)</f>
        <v>10677.478080402052</v>
      </c>
      <c r="G53" s="58">
        <f t="shared" si="15"/>
        <v>13835.398992905528</v>
      </c>
      <c r="H53" s="58">
        <f t="shared" si="15"/>
        <v>17994.905008084188</v>
      </c>
      <c r="I53" s="58">
        <f t="shared" si="15"/>
        <v>23183.521220968232</v>
      </c>
      <c r="J53" s="58">
        <f t="shared" si="15"/>
        <v>29109.918094646986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1" t="s">
        <v>341</v>
      </c>
      <c r="C54" s="2"/>
      <c r="D54" s="2"/>
      <c r="E54" s="2"/>
      <c r="F54" s="58">
        <f t="shared" ref="F54:J54" si="16">-F13</f>
        <v>-20795.5965</v>
      </c>
      <c r="G54" s="58">
        <f t="shared" si="16"/>
        <v>-24516.461426250004</v>
      </c>
      <c r="H54" s="58">
        <f t="shared" si="16"/>
        <v>-26371.690257937502</v>
      </c>
      <c r="I54" s="58">
        <f t="shared" si="16"/>
        <v>-24694.080124600081</v>
      </c>
      <c r="J54" s="58">
        <f t="shared" si="16"/>
        <v>-18323.824609962292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1" t="s">
        <v>342</v>
      </c>
      <c r="C55" s="2"/>
      <c r="D55" s="2"/>
      <c r="E55" s="2"/>
      <c r="F55" s="58">
        <f t="shared" ref="F55:J55" si="17">F54</f>
        <v>-20795.5965</v>
      </c>
      <c r="G55" s="58">
        <f t="shared" si="17"/>
        <v>-24516.461426250004</v>
      </c>
      <c r="H55" s="58">
        <f t="shared" si="17"/>
        <v>-26371.690257937502</v>
      </c>
      <c r="I55" s="58">
        <f t="shared" si="17"/>
        <v>-24694.080124600081</v>
      </c>
      <c r="J55" s="58">
        <f t="shared" si="17"/>
        <v>-18323.824609962292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1" t="s">
        <v>343</v>
      </c>
      <c r="C56" s="2"/>
      <c r="D56" s="2"/>
      <c r="E56" s="2"/>
      <c r="F56" s="58">
        <f t="shared" ref="F56:J56" si="18">-F22</f>
        <v>-1456.6000000000001</v>
      </c>
      <c r="G56" s="58">
        <f t="shared" si="18"/>
        <v>-1383.7700000000002</v>
      </c>
      <c r="H56" s="58">
        <f t="shared" si="18"/>
        <v>-1314.5815000000002</v>
      </c>
      <c r="I56" s="58">
        <f t="shared" si="18"/>
        <v>-1248.852425</v>
      </c>
      <c r="J56" s="58">
        <f t="shared" si="18"/>
        <v>-1186.40980375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1" t="s">
        <v>344</v>
      </c>
      <c r="C57" s="2"/>
      <c r="D57" s="2"/>
      <c r="E57" s="2"/>
      <c r="F57" s="58">
        <f t="shared" ref="F57:J57" si="19">F56</f>
        <v>-1456.6000000000001</v>
      </c>
      <c r="G57" s="58">
        <f t="shared" si="19"/>
        <v>-1383.7700000000002</v>
      </c>
      <c r="H57" s="58">
        <f t="shared" si="19"/>
        <v>-1314.5815000000002</v>
      </c>
      <c r="I57" s="58">
        <f t="shared" si="19"/>
        <v>-1248.852425</v>
      </c>
      <c r="J57" s="58">
        <f t="shared" si="19"/>
        <v>-1186.40980375</v>
      </c>
      <c r="K57" s="56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1" t="s">
        <v>345</v>
      </c>
      <c r="C58" s="2"/>
      <c r="D58" s="2"/>
      <c r="E58" s="2"/>
      <c r="F58" s="58">
        <f t="shared" ref="F58:J58" si="20">F53+F55+F57</f>
        <v>-11574.718419597948</v>
      </c>
      <c r="G58" s="58">
        <f t="shared" si="20"/>
        <v>-12064.832433344476</v>
      </c>
      <c r="H58" s="58">
        <f t="shared" si="20"/>
        <v>-9691.3667498533141</v>
      </c>
      <c r="I58" s="58">
        <f t="shared" si="20"/>
        <v>-2759.4113286318488</v>
      </c>
      <c r="J58" s="58">
        <f t="shared" si="20"/>
        <v>9599.6836809346933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1" t="s">
        <v>346</v>
      </c>
      <c r="C59" s="2"/>
      <c r="D59" s="2"/>
      <c r="E59" s="2"/>
      <c r="F59" s="58">
        <f t="shared" ref="F59:J59" si="21">F28+F58</f>
        <v>78677.28158040205</v>
      </c>
      <c r="G59" s="58">
        <f t="shared" si="21"/>
        <v>66612.449147057574</v>
      </c>
      <c r="H59" s="58">
        <f t="shared" si="21"/>
        <v>56921.082397204256</v>
      </c>
      <c r="I59" s="58">
        <f t="shared" si="21"/>
        <v>54161.67106857241</v>
      </c>
      <c r="J59" s="58">
        <f t="shared" si="21"/>
        <v>63761.354749507103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191" t="s">
        <v>347</v>
      </c>
      <c r="C61" s="192"/>
      <c r="D61" s="192"/>
      <c r="E61" s="192"/>
      <c r="F61" s="192"/>
      <c r="G61" s="192"/>
      <c r="H61" s="192"/>
      <c r="I61" s="192"/>
      <c r="J61" s="193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1" t="s">
        <v>348</v>
      </c>
      <c r="C62" s="2"/>
      <c r="D62" s="2"/>
      <c r="E62" s="2"/>
      <c r="F62" s="58">
        <f t="shared" ref="F62:J62" si="22">F59</f>
        <v>78677.28158040205</v>
      </c>
      <c r="G62" s="58">
        <f t="shared" si="22"/>
        <v>66612.449147057574</v>
      </c>
      <c r="H62" s="58">
        <f t="shared" si="22"/>
        <v>56921.082397204256</v>
      </c>
      <c r="I62" s="58">
        <f t="shared" si="22"/>
        <v>54161.67106857241</v>
      </c>
      <c r="J62" s="58">
        <f t="shared" si="22"/>
        <v>63761.354749507103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1" t="s">
        <v>329</v>
      </c>
      <c r="C63" s="2"/>
      <c r="D63" s="2"/>
      <c r="E63" s="2"/>
      <c r="F63" s="58">
        <f t="shared" ref="F63:J63" si="23">F39</f>
        <v>3428.1114739726031</v>
      </c>
      <c r="G63" s="58">
        <f t="shared" si="23"/>
        <v>4543.2136392328766</v>
      </c>
      <c r="H63" s="58">
        <f t="shared" si="23"/>
        <v>5845.1024912383555</v>
      </c>
      <c r="I63" s="58">
        <f t="shared" si="23"/>
        <v>7230.7858760660129</v>
      </c>
      <c r="J63" s="58">
        <f t="shared" si="23"/>
        <v>8527.3814861731662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1" t="s">
        <v>349</v>
      </c>
      <c r="C64" s="2"/>
      <c r="D64" s="2"/>
      <c r="E64" s="2"/>
      <c r="F64" s="58">
        <f t="shared" ref="F64:J64" si="24">F16</f>
        <v>57841.563956385748</v>
      </c>
      <c r="G64" s="58">
        <f t="shared" si="24"/>
        <v>74335.258819575349</v>
      </c>
      <c r="H64" s="58">
        <f t="shared" si="24"/>
        <v>89908.120258830211</v>
      </c>
      <c r="I64" s="58">
        <f t="shared" si="24"/>
        <v>101126.65346002573</v>
      </c>
      <c r="J64" s="58">
        <f t="shared" si="24"/>
        <v>104049.42519381564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1" t="s">
        <v>350</v>
      </c>
      <c r="C65" s="2"/>
      <c r="D65" s="2"/>
      <c r="E65" s="2"/>
      <c r="F65" s="58">
        <f t="shared" ref="F65:J65" si="25">SUM(F62:F64)</f>
        <v>139946.95701076041</v>
      </c>
      <c r="G65" s="58">
        <f t="shared" si="25"/>
        <v>145490.92160586582</v>
      </c>
      <c r="H65" s="58">
        <f t="shared" si="25"/>
        <v>152674.30514727283</v>
      </c>
      <c r="I65" s="58">
        <f t="shared" si="25"/>
        <v>162519.11040466416</v>
      </c>
      <c r="J65" s="58">
        <f t="shared" si="25"/>
        <v>176338.1614294959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1" t="s">
        <v>333</v>
      </c>
      <c r="C66" s="2"/>
      <c r="D66" s="2"/>
      <c r="E66" s="2"/>
      <c r="F66" s="58">
        <f t="shared" ref="F66:J66" si="26">F44</f>
        <v>4371.5332808219182</v>
      </c>
      <c r="G66" s="58">
        <f t="shared" si="26"/>
        <v>5793.513360513698</v>
      </c>
      <c r="H66" s="58">
        <f t="shared" si="26"/>
        <v>7453.684124411815</v>
      </c>
      <c r="I66" s="58">
        <f t="shared" si="26"/>
        <v>9220.7098117172445</v>
      </c>
      <c r="J66" s="58">
        <f t="shared" si="26"/>
        <v>10874.130625009127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1" t="s">
        <v>351</v>
      </c>
      <c r="C67" s="2"/>
      <c r="D67" s="2"/>
      <c r="E67" s="2"/>
      <c r="F67" s="58">
        <f t="shared" ref="F67:J67" si="27">F23</f>
        <v>27675.4</v>
      </c>
      <c r="G67" s="58">
        <f t="shared" si="27"/>
        <v>26291.63</v>
      </c>
      <c r="H67" s="58">
        <f t="shared" si="27"/>
        <v>24977.048500000001</v>
      </c>
      <c r="I67" s="58">
        <f t="shared" si="27"/>
        <v>23728.196075</v>
      </c>
      <c r="J67" s="58">
        <f t="shared" si="27"/>
        <v>22541.786271249999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1" t="s">
        <v>352</v>
      </c>
      <c r="C68" s="2"/>
      <c r="D68" s="2"/>
      <c r="E68" s="2"/>
      <c r="F68" s="58">
        <f t="shared" ref="F68:J68" si="28">F66+F67</f>
        <v>32046.933280821919</v>
      </c>
      <c r="G68" s="58">
        <f t="shared" si="28"/>
        <v>32085.143360513699</v>
      </c>
      <c r="H68" s="58">
        <f t="shared" si="28"/>
        <v>32430.732624411816</v>
      </c>
      <c r="I68" s="58">
        <f t="shared" si="28"/>
        <v>32948.905886717243</v>
      </c>
      <c r="J68" s="58">
        <f t="shared" si="28"/>
        <v>33415.916896259128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1" t="s">
        <v>353</v>
      </c>
      <c r="C69" s="2"/>
      <c r="D69" s="2"/>
      <c r="E69" s="2"/>
      <c r="F69" s="62">
        <f>F65-F68-'IS Forecast'!F41-F18</f>
        <v>103023.64356164384</v>
      </c>
      <c r="G69" s="58">
        <f t="shared" ref="G69:J69" si="29">F72</f>
        <v>107900.02372993849</v>
      </c>
      <c r="H69" s="58">
        <f t="shared" si="29"/>
        <v>113405.77824535211</v>
      </c>
      <c r="I69" s="58">
        <f t="shared" si="29"/>
        <v>120243.57252286101</v>
      </c>
      <c r="J69" s="58">
        <f t="shared" si="29"/>
        <v>129570.20451794693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1" t="s">
        <v>354</v>
      </c>
      <c r="C70" s="2"/>
      <c r="D70" s="2"/>
      <c r="E70" s="2"/>
      <c r="F70" s="58">
        <f>'IS Forecast'!F41</f>
        <v>4245.704418294652</v>
      </c>
      <c r="G70" s="58">
        <f>'IS Forecast'!G41</f>
        <v>4669.9314416636225</v>
      </c>
      <c r="H70" s="58">
        <f>'IS Forecast'!H41</f>
        <v>5762.4604018526607</v>
      </c>
      <c r="I70" s="58">
        <f>'IS Forecast'!I41</f>
        <v>7996.3714886523903</v>
      </c>
      <c r="J70" s="58">
        <f>'IS Forecast'!J41</f>
        <v>11783.242514053372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3.25" customHeight="1">
      <c r="A71" s="2"/>
      <c r="B71" s="1" t="s">
        <v>355</v>
      </c>
      <c r="C71" s="2"/>
      <c r="D71" s="2"/>
      <c r="E71" s="2"/>
      <c r="F71" s="58">
        <f t="shared" ref="F71:J71" si="30">F18</f>
        <v>630.67575000000011</v>
      </c>
      <c r="G71" s="58">
        <f t="shared" si="30"/>
        <v>835.82307375000005</v>
      </c>
      <c r="H71" s="58">
        <f t="shared" si="30"/>
        <v>1075.33387565625</v>
      </c>
      <c r="I71" s="58">
        <f t="shared" si="30"/>
        <v>1330.2605064335157</v>
      </c>
      <c r="J71" s="58">
        <f t="shared" si="30"/>
        <v>1568.7975012364948</v>
      </c>
      <c r="K71" s="56" t="s">
        <v>356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1" t="s">
        <v>357</v>
      </c>
      <c r="C72" s="2"/>
      <c r="D72" s="2"/>
      <c r="E72" s="2"/>
      <c r="F72" s="58">
        <f t="shared" ref="F72:J72" si="31">SUM(F69:F71)</f>
        <v>107900.02372993849</v>
      </c>
      <c r="G72" s="58">
        <f t="shared" si="31"/>
        <v>113405.77824535211</v>
      </c>
      <c r="H72" s="58">
        <f t="shared" si="31"/>
        <v>120243.57252286101</v>
      </c>
      <c r="I72" s="58">
        <f t="shared" si="31"/>
        <v>129570.20451794693</v>
      </c>
      <c r="J72" s="58">
        <f t="shared" si="31"/>
        <v>142922.24453323678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1" t="s">
        <v>358</v>
      </c>
      <c r="C73" s="2"/>
      <c r="D73" s="2"/>
      <c r="E73" s="2"/>
      <c r="F73" s="58">
        <f t="shared" ref="F73:J73" si="32">F68+F72</f>
        <v>139946.95701076041</v>
      </c>
      <c r="G73" s="58">
        <f t="shared" si="32"/>
        <v>145490.92160586582</v>
      </c>
      <c r="H73" s="58">
        <f t="shared" si="32"/>
        <v>152674.30514727283</v>
      </c>
      <c r="I73" s="58">
        <f t="shared" si="32"/>
        <v>162519.11040466418</v>
      </c>
      <c r="J73" s="58">
        <f t="shared" si="32"/>
        <v>176338.1614294959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8">
    <mergeCell ref="B32:J32"/>
    <mergeCell ref="B48:J48"/>
    <mergeCell ref="B61:J61"/>
    <mergeCell ref="B1:J1"/>
    <mergeCell ref="B2:J2"/>
    <mergeCell ref="B5:J5"/>
    <mergeCell ref="B20:J20"/>
    <mergeCell ref="B27:J27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4.44140625" defaultRowHeight="15" customHeight="1"/>
  <cols>
    <col min="1" max="1" width="2" customWidth="1"/>
    <col min="2" max="2" width="42" customWidth="1"/>
    <col min="3" max="10" width="13" customWidth="1"/>
    <col min="11" max="11" width="65" customWidth="1"/>
  </cols>
  <sheetData>
    <row r="1" spans="1:26" ht="17.25" customHeight="1">
      <c r="A1" s="2"/>
      <c r="B1" s="195" t="s">
        <v>359</v>
      </c>
      <c r="C1" s="192"/>
      <c r="D1" s="192"/>
      <c r="E1" s="192"/>
      <c r="F1" s="192"/>
      <c r="G1" s="192"/>
      <c r="H1" s="192"/>
      <c r="I1" s="192"/>
      <c r="J1" s="19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>
      <c r="A2" s="2"/>
      <c r="B2" s="194" t="s">
        <v>360</v>
      </c>
      <c r="C2" s="190"/>
      <c r="D2" s="190"/>
      <c r="E2" s="190"/>
      <c r="F2" s="190"/>
      <c r="G2" s="190"/>
      <c r="H2" s="190"/>
      <c r="I2" s="190"/>
      <c r="J2" s="19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/>
      <c r="B4" s="2"/>
      <c r="C4" s="69"/>
      <c r="D4" s="69"/>
      <c r="E4" s="69"/>
      <c r="F4" s="54" t="s">
        <v>255</v>
      </c>
      <c r="G4" s="54" t="s">
        <v>256</v>
      </c>
      <c r="H4" s="54" t="s">
        <v>257</v>
      </c>
      <c r="I4" s="54" t="s">
        <v>258</v>
      </c>
      <c r="J4" s="54" t="s">
        <v>259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/>
      <c r="B5" s="196" t="s">
        <v>361</v>
      </c>
      <c r="C5" s="192"/>
      <c r="D5" s="192"/>
      <c r="E5" s="192"/>
      <c r="F5" s="192"/>
      <c r="G5" s="192"/>
      <c r="H5" s="192"/>
      <c r="I5" s="192"/>
      <c r="J5" s="19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/>
      <c r="B6" s="1" t="s">
        <v>362</v>
      </c>
      <c r="C6" s="2"/>
      <c r="D6" s="2"/>
      <c r="E6" s="2"/>
      <c r="F6" s="55">
        <f>Assumptions!$E$54</f>
        <v>9.9997643782799614E-2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/>
      <c r="B7" s="1" t="s">
        <v>363</v>
      </c>
      <c r="C7" s="2"/>
      <c r="D7" s="2"/>
      <c r="E7" s="2"/>
      <c r="F7" s="55">
        <f>Assumptions!$E$44*(1-Assumptions!$E$37)</f>
        <v>4.7399999999999998E-2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1" t="s">
        <v>364</v>
      </c>
      <c r="C8" s="2"/>
      <c r="D8" s="2"/>
      <c r="E8" s="2"/>
      <c r="F8" s="55">
        <f>Assumptions!$E$53</f>
        <v>0.03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4.75" customHeight="1">
      <c r="A9" s="2"/>
      <c r="B9" s="1" t="s">
        <v>123</v>
      </c>
      <c r="C9" s="2"/>
      <c r="D9" s="2"/>
      <c r="E9" s="2"/>
      <c r="F9" s="55">
        <f>Assumptions!$E$55</f>
        <v>9.8419714469315633E-2</v>
      </c>
      <c r="G9" s="2"/>
      <c r="H9" s="2"/>
      <c r="I9" s="2"/>
      <c r="J9" s="2"/>
      <c r="K9" s="56" t="s">
        <v>365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/>
      <c r="B11" s="191" t="s">
        <v>366</v>
      </c>
      <c r="C11" s="192"/>
      <c r="D11" s="192"/>
      <c r="E11" s="192"/>
      <c r="F11" s="192"/>
      <c r="G11" s="192"/>
      <c r="H11" s="192"/>
      <c r="I11" s="192"/>
      <c r="J11" s="19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/>
      <c r="B12" s="1" t="s">
        <v>367</v>
      </c>
      <c r="C12" s="2"/>
      <c r="D12" s="2"/>
      <c r="E12" s="2"/>
      <c r="F12" s="58">
        <f>'IS Forecast'!F26</f>
        <v>9353.4594720000023</v>
      </c>
      <c r="G12" s="58">
        <f>'IS Forecast'!G26</f>
        <v>12971.850354120001</v>
      </c>
      <c r="H12" s="58">
        <f>'IS Forecast'!H26</f>
        <v>17745.599808321</v>
      </c>
      <c r="I12" s="58">
        <f>'IS Forecast'!I26</f>
        <v>23699.65117673685</v>
      </c>
      <c r="J12" s="58">
        <f>'IS Forecast'!J26</f>
        <v>30474.576538145833</v>
      </c>
      <c r="K12" s="5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/>
      <c r="B13" s="1" t="s">
        <v>368</v>
      </c>
      <c r="C13" s="2"/>
      <c r="D13" s="2"/>
      <c r="E13" s="2"/>
      <c r="F13" s="58">
        <f>'IS Forecast'!F32</f>
        <v>3166.7511783857517</v>
      </c>
      <c r="G13" s="58">
        <f>'IS Forecast'!G32</f>
        <v>4113.260717309603</v>
      </c>
      <c r="H13" s="58">
        <f>'IS Forecast'!H32</f>
        <v>5871.4371139821142</v>
      </c>
      <c r="I13" s="58">
        <f>'IS Forecast'!I32</f>
        <v>8893.8437468987795</v>
      </c>
      <c r="J13" s="58">
        <f>'IS Forecast'!J32</f>
        <v>13504.726160736949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1" t="s">
        <v>369</v>
      </c>
      <c r="C14" s="2"/>
      <c r="D14" s="2"/>
      <c r="E14" s="2"/>
      <c r="F14" s="58">
        <f>-'IS Forecast'!F31</f>
        <v>-630.67575000000011</v>
      </c>
      <c r="G14" s="58">
        <f>-'IS Forecast'!G31</f>
        <v>-835.82307375000005</v>
      </c>
      <c r="H14" s="58">
        <f>-'IS Forecast'!H31</f>
        <v>-1075.33387565625</v>
      </c>
      <c r="I14" s="58">
        <f>-'IS Forecast'!I31</f>
        <v>-1330.2605064335157</v>
      </c>
      <c r="J14" s="58">
        <f>-'IS Forecast'!J31</f>
        <v>-1568.7975012364948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1" t="s">
        <v>370</v>
      </c>
      <c r="C15" s="2"/>
      <c r="D15" s="2"/>
      <c r="E15" s="2"/>
      <c r="F15" s="58">
        <f>'BS &amp; CF Forecast'!F13</f>
        <v>20795.5965</v>
      </c>
      <c r="G15" s="58">
        <f>'BS &amp; CF Forecast'!G13</f>
        <v>24516.461426250004</v>
      </c>
      <c r="H15" s="58">
        <f>'BS &amp; CF Forecast'!H13</f>
        <v>26371.690257937502</v>
      </c>
      <c r="I15" s="58">
        <f>'BS &amp; CF Forecast'!I13</f>
        <v>24694.080124600081</v>
      </c>
      <c r="J15" s="58">
        <f>'BS &amp; CF Forecast'!J13</f>
        <v>18323.824609962292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1" t="s">
        <v>371</v>
      </c>
      <c r="C16" s="2"/>
      <c r="D16" s="2"/>
      <c r="E16" s="2"/>
      <c r="F16" s="58">
        <f>'IS Forecast'!F30</f>
        <v>5556.0325436142502</v>
      </c>
      <c r="G16" s="58">
        <f>'IS Forecast'!G30</f>
        <v>8022.7665630603979</v>
      </c>
      <c r="H16" s="58">
        <f>'IS Forecast'!H30</f>
        <v>10798.828818682636</v>
      </c>
      <c r="I16" s="58">
        <f>'IS Forecast'!I30</f>
        <v>13475.546923404554</v>
      </c>
      <c r="J16" s="58">
        <f>'IS Forecast'!J30</f>
        <v>15401.052876172389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1" t="s">
        <v>372</v>
      </c>
      <c r="C17" s="2"/>
      <c r="D17" s="2"/>
      <c r="E17" s="2"/>
      <c r="F17" s="62">
        <f>MAX(F16,Assumptions!$E$38*F15)</f>
        <v>14556.917549999998</v>
      </c>
      <c r="G17" s="62">
        <f>MAX(G16,Assumptions!$E$38*G15)</f>
        <v>17161.522998375003</v>
      </c>
      <c r="H17" s="62">
        <f>MAX(H16,Assumptions!$E$38*H15)</f>
        <v>18460.183180556251</v>
      </c>
      <c r="I17" s="62">
        <f>MAX(I16,Assumptions!$E$38*I15)</f>
        <v>17285.856087220054</v>
      </c>
      <c r="J17" s="62">
        <f>MAX(J16,Assumptions!$E$38*J15)</f>
        <v>15401.052876172389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1" t="s">
        <v>373</v>
      </c>
      <c r="C18" s="2"/>
      <c r="D18" s="2"/>
      <c r="E18" s="2"/>
      <c r="F18" s="58">
        <f t="shared" ref="F18:J18" si="0">F12+F14-F17</f>
        <v>-5834.1338279999964</v>
      </c>
      <c r="G18" s="58">
        <f t="shared" si="0"/>
        <v>-5025.4957180050023</v>
      </c>
      <c r="H18" s="58">
        <f t="shared" si="0"/>
        <v>-1789.9172478915025</v>
      </c>
      <c r="I18" s="58">
        <f t="shared" si="0"/>
        <v>5083.5345830832812</v>
      </c>
      <c r="J18" s="58">
        <f t="shared" si="0"/>
        <v>13504.726160736949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1" t="s">
        <v>290</v>
      </c>
      <c r="C19" s="2"/>
      <c r="D19" s="2"/>
      <c r="E19" s="2"/>
      <c r="F19" s="55">
        <f>Assumptions!$E$37</f>
        <v>0.21</v>
      </c>
      <c r="G19" s="55">
        <f>Assumptions!$E$37</f>
        <v>0.21</v>
      </c>
      <c r="H19" s="55">
        <f>Assumptions!$E$37</f>
        <v>0.21</v>
      </c>
      <c r="I19" s="55">
        <f>Assumptions!$E$37</f>
        <v>0.21</v>
      </c>
      <c r="J19" s="55">
        <f>Assumptions!$E$37</f>
        <v>0.21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1" t="s">
        <v>374</v>
      </c>
      <c r="C20" s="2"/>
      <c r="D20" s="2"/>
      <c r="E20" s="2"/>
      <c r="F20" s="58">
        <f t="shared" ref="F20:J20" si="1">MAX(0,F18)*F19</f>
        <v>0</v>
      </c>
      <c r="G20" s="58">
        <f t="shared" si="1"/>
        <v>0</v>
      </c>
      <c r="H20" s="58">
        <f t="shared" si="1"/>
        <v>0</v>
      </c>
      <c r="I20" s="58">
        <f t="shared" si="1"/>
        <v>1067.5422624474891</v>
      </c>
      <c r="J20" s="58">
        <f t="shared" si="1"/>
        <v>2835.9924937547594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>
      <c r="A21" s="2"/>
      <c r="B21" s="1" t="s">
        <v>375</v>
      </c>
      <c r="C21" s="2"/>
      <c r="D21" s="2"/>
      <c r="E21" s="2"/>
      <c r="F21" s="58">
        <f t="shared" ref="F21:J21" si="2">F13+F16-F20</f>
        <v>8722.7837220000019</v>
      </c>
      <c r="G21" s="58">
        <f t="shared" si="2"/>
        <v>12136.027280370001</v>
      </c>
      <c r="H21" s="58">
        <f t="shared" si="2"/>
        <v>16670.265932664748</v>
      </c>
      <c r="I21" s="58">
        <f t="shared" si="2"/>
        <v>21301.848407855847</v>
      </c>
      <c r="J21" s="58">
        <f t="shared" si="2"/>
        <v>26069.78654315458</v>
      </c>
      <c r="K21" s="5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1" t="s">
        <v>376</v>
      </c>
      <c r="C22" s="2"/>
      <c r="D22" s="2"/>
      <c r="E22" s="2"/>
      <c r="F22" s="58">
        <f t="shared" ref="F22:J22" si="3">-F15</f>
        <v>-20795.5965</v>
      </c>
      <c r="G22" s="58">
        <f t="shared" si="3"/>
        <v>-24516.461426250004</v>
      </c>
      <c r="H22" s="58">
        <f t="shared" si="3"/>
        <v>-26371.690257937502</v>
      </c>
      <c r="I22" s="58">
        <f t="shared" si="3"/>
        <v>-24694.080124600081</v>
      </c>
      <c r="J22" s="58">
        <f t="shared" si="3"/>
        <v>-18323.824609962292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1" t="s">
        <v>339</v>
      </c>
      <c r="C23" s="2"/>
      <c r="D23" s="2"/>
      <c r="E23" s="2"/>
      <c r="F23" s="58">
        <f>'BS &amp; CF Forecast'!F46</f>
        <v>245.06536849315034</v>
      </c>
      <c r="G23" s="58">
        <f>'BS &amp; CF Forecast'!G46</f>
        <v>306.87791443150627</v>
      </c>
      <c r="H23" s="58">
        <f>'BS &amp; CF Forecast'!H46</f>
        <v>358.28191189263816</v>
      </c>
      <c r="I23" s="58">
        <f>'BS &amp; CF Forecast'!I46</f>
        <v>381.34230247777214</v>
      </c>
      <c r="J23" s="58">
        <f>'BS &amp; CF Forecast'!J46</f>
        <v>356.82520318472962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1" t="s">
        <v>377</v>
      </c>
      <c r="C24" s="2"/>
      <c r="D24" s="2"/>
      <c r="E24" s="2"/>
      <c r="F24" s="58">
        <f t="shared" ref="F24:J24" si="4">SUM(F21,F22,F23)</f>
        <v>-11827.747409506846</v>
      </c>
      <c r="G24" s="58">
        <f t="shared" si="4"/>
        <v>-12073.556231448496</v>
      </c>
      <c r="H24" s="58">
        <f t="shared" si="4"/>
        <v>-9343.1424133801156</v>
      </c>
      <c r="I24" s="58">
        <f t="shared" si="4"/>
        <v>-3010.8894142664622</v>
      </c>
      <c r="J24" s="58">
        <f t="shared" si="4"/>
        <v>8102.7871363770173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191" t="s">
        <v>378</v>
      </c>
      <c r="C26" s="192"/>
      <c r="D26" s="192"/>
      <c r="E26" s="192"/>
      <c r="F26" s="192"/>
      <c r="G26" s="192"/>
      <c r="H26" s="192"/>
      <c r="I26" s="192"/>
      <c r="J26" s="193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1" t="s">
        <v>379</v>
      </c>
      <c r="C27" s="2"/>
      <c r="D27" s="2"/>
      <c r="E27" s="2"/>
      <c r="F27" s="70">
        <v>1</v>
      </c>
      <c r="G27" s="70">
        <v>2</v>
      </c>
      <c r="H27" s="70">
        <v>3</v>
      </c>
      <c r="I27" s="70">
        <v>4</v>
      </c>
      <c r="J27" s="70">
        <v>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1" t="s">
        <v>380</v>
      </c>
      <c r="C28" s="2"/>
      <c r="D28" s="2"/>
      <c r="E28" s="2"/>
      <c r="F28" s="71">
        <f>F27-0.5*Assumptions!$E$60</f>
        <v>0.5</v>
      </c>
      <c r="G28" s="71">
        <f>G27-0.5*Assumptions!$E$60</f>
        <v>1.5</v>
      </c>
      <c r="H28" s="71">
        <f>H27-0.5*Assumptions!$E$60</f>
        <v>2.5</v>
      </c>
      <c r="I28" s="71">
        <f>I27-0.5*Assumptions!$E$60</f>
        <v>3.5</v>
      </c>
      <c r="J28" s="71">
        <f>J27-0.5*Assumptions!$E$60</f>
        <v>4.5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1" t="s">
        <v>381</v>
      </c>
      <c r="C29" s="2"/>
      <c r="D29" s="2"/>
      <c r="E29" s="2"/>
      <c r="F29" s="72">
        <f>1/(1+F9)^F28</f>
        <v>0.95414821131217853</v>
      </c>
      <c r="G29" s="72">
        <f>1/(1+F9)^G28</f>
        <v>0.86865539533142888</v>
      </c>
      <c r="H29" s="72">
        <f>1/(1+F9)^H28</f>
        <v>0.7908228374716546</v>
      </c>
      <c r="I29" s="72">
        <f>1/(1+F9)^I28</f>
        <v>0.71996416948299991</v>
      </c>
      <c r="J29" s="72">
        <f>1/(1+F9)^J28</f>
        <v>0.65545452252815717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1" t="s">
        <v>382</v>
      </c>
      <c r="C30" s="2"/>
      <c r="D30" s="2"/>
      <c r="E30" s="2"/>
      <c r="F30" s="58">
        <f t="shared" ref="F30:J30" si="5">F24*F29</f>
        <v>-11285.42403463321</v>
      </c>
      <c r="G30" s="58">
        <f t="shared" si="5"/>
        <v>-10487.75976128513</v>
      </c>
      <c r="H30" s="58">
        <f t="shared" si="5"/>
        <v>-7388.7703942510261</v>
      </c>
      <c r="I30" s="58">
        <f t="shared" si="5"/>
        <v>-2167.7324965475095</v>
      </c>
      <c r="J30" s="58">
        <f t="shared" si="5"/>
        <v>5311.0084736212921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1" t="s">
        <v>383</v>
      </c>
      <c r="C31" s="2"/>
      <c r="D31" s="2"/>
      <c r="E31" s="2"/>
      <c r="F31" s="58">
        <f>SUM(F30:J30)</f>
        <v>-26018.678213095583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191" t="s">
        <v>384</v>
      </c>
      <c r="C33" s="192"/>
      <c r="D33" s="192"/>
      <c r="E33" s="192"/>
      <c r="F33" s="192"/>
      <c r="G33" s="192"/>
      <c r="H33" s="192"/>
      <c r="I33" s="192"/>
      <c r="J33" s="193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57.75" customHeight="1">
      <c r="A34" s="2"/>
      <c r="B34" s="1" t="s">
        <v>385</v>
      </c>
      <c r="C34" s="2"/>
      <c r="D34" s="2"/>
      <c r="E34" s="2"/>
      <c r="F34" s="62">
        <f>J13*(1+Assumptions!$E$57)</f>
        <v>13842.344314755372</v>
      </c>
      <c r="G34" s="2"/>
      <c r="H34" s="2"/>
      <c r="I34" s="2"/>
      <c r="J34" s="2"/>
      <c r="K34" s="56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1" t="s">
        <v>386</v>
      </c>
      <c r="C35" s="2"/>
      <c r="D35" s="2"/>
      <c r="E35" s="2"/>
      <c r="F35" s="58">
        <f>F34*(1-F19)</f>
        <v>10935.452008656745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1" t="s">
        <v>387</v>
      </c>
      <c r="C36" s="2"/>
      <c r="D36" s="2"/>
      <c r="E36" s="2"/>
      <c r="F36" s="58">
        <f>'BS &amp; CF Forecast'!J15*(1+Assumptions!$E$57)</f>
        <v>15786.079198076697</v>
      </c>
      <c r="G36" s="2"/>
      <c r="H36" s="2"/>
      <c r="I36" s="2"/>
      <c r="J36" s="2"/>
      <c r="K36" s="56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1" t="s">
        <v>388</v>
      </c>
      <c r="C37" s="2"/>
      <c r="D37" s="2"/>
      <c r="E37" s="2"/>
      <c r="F37" s="58">
        <f>F36</f>
        <v>15786.079198076697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1" t="s">
        <v>389</v>
      </c>
      <c r="C38" s="2"/>
      <c r="D38" s="2"/>
      <c r="E38" s="2"/>
      <c r="F38" s="62">
        <f>-(Assumptions!$E$57*'BS &amp; CF Forecast'!J45)</f>
        <v>58.668728470899033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1" t="s">
        <v>390</v>
      </c>
      <c r="C39" s="2"/>
      <c r="D39" s="2"/>
      <c r="E39" s="2"/>
      <c r="F39" s="58">
        <f>F35+F36-F37+F38</f>
        <v>10994.120737127643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1" t="s">
        <v>391</v>
      </c>
      <c r="C40" s="2"/>
      <c r="D40" s="2"/>
      <c r="E40" s="2"/>
      <c r="F40" s="62">
        <f>F39/(F9-Assumptions!$E$57)</f>
        <v>149743.44175258846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1" t="s">
        <v>392</v>
      </c>
      <c r="C41" s="2"/>
      <c r="D41" s="2"/>
      <c r="E41" s="2"/>
      <c r="F41" s="62">
        <f>'IS Forecast'!J26*Assumptions!$E$58</f>
        <v>548542.377686625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1" t="s">
        <v>393</v>
      </c>
      <c r="C42" s="2"/>
      <c r="D42" s="2"/>
      <c r="E42" s="2"/>
      <c r="F42" s="62">
        <f>IF(Assumptions!$E$59=1,F40,F41)</f>
        <v>149743.44175258846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1" t="s">
        <v>394</v>
      </c>
      <c r="C43" s="2"/>
      <c r="D43" s="2"/>
      <c r="E43" s="2"/>
      <c r="F43" s="58">
        <f>F42*J29</f>
        <v>98150.016115665785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>
      <c r="A44" s="2"/>
      <c r="B44" s="1" t="s">
        <v>395</v>
      </c>
      <c r="C44" s="2"/>
      <c r="D44" s="2"/>
      <c r="E44" s="2"/>
      <c r="F44" s="61">
        <f>F43/(F43+F31)</f>
        <v>1.3607125414509811</v>
      </c>
      <c r="G44" s="2"/>
      <c r="H44" s="2"/>
      <c r="I44" s="2"/>
      <c r="J44" s="2"/>
      <c r="K44" s="73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191" t="s">
        <v>396</v>
      </c>
      <c r="C46" s="192"/>
      <c r="D46" s="192"/>
      <c r="E46" s="192"/>
      <c r="F46" s="192"/>
      <c r="G46" s="192"/>
      <c r="H46" s="192"/>
      <c r="I46" s="192"/>
      <c r="J46" s="193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1" t="s">
        <v>383</v>
      </c>
      <c r="C47" s="2"/>
      <c r="D47" s="2"/>
      <c r="E47" s="2"/>
      <c r="F47" s="58">
        <f>F31</f>
        <v>-26018.678213095583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1" t="s">
        <v>397</v>
      </c>
      <c r="C48" s="2"/>
      <c r="D48" s="2"/>
      <c r="E48" s="2"/>
      <c r="F48" s="58">
        <f>F43</f>
        <v>98150.016115665785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1" t="s">
        <v>398</v>
      </c>
      <c r="C49" s="2"/>
      <c r="D49" s="2"/>
      <c r="E49" s="2"/>
      <c r="F49" s="58">
        <f>F47+F48</f>
        <v>72131.337902570202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1" t="s">
        <v>399</v>
      </c>
      <c r="C50" s="2"/>
      <c r="D50" s="2"/>
      <c r="E50" s="2"/>
      <c r="F50" s="62">
        <f>-Assumptions!$E$66</f>
        <v>61120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1" t="s">
        <v>400</v>
      </c>
      <c r="C51" s="2"/>
      <c r="D51" s="2"/>
      <c r="E51" s="2"/>
      <c r="F51" s="62">
        <f t="shared" ref="F51:F52" si="6">0</f>
        <v>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1" t="s">
        <v>401</v>
      </c>
      <c r="C52" s="2"/>
      <c r="D52" s="2"/>
      <c r="E52" s="2"/>
      <c r="F52" s="62">
        <f t="shared" si="6"/>
        <v>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1" t="s">
        <v>402</v>
      </c>
      <c r="C53" s="2"/>
      <c r="D53" s="2"/>
      <c r="E53" s="2"/>
      <c r="F53" s="58">
        <f>F49+F50+F51+F52</f>
        <v>133251.3379025702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1" t="s">
        <v>295</v>
      </c>
      <c r="C54" s="2"/>
      <c r="D54" s="2"/>
      <c r="E54" s="2"/>
      <c r="F54" s="62">
        <f>Assumptions!$E$68</f>
        <v>13075.9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1" t="s">
        <v>403</v>
      </c>
      <c r="C55" s="2"/>
      <c r="D55" s="2"/>
      <c r="E55" s="2"/>
      <c r="F55" s="74">
        <f>F53/F54</f>
        <v>10.190605457564695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1" t="s">
        <v>404</v>
      </c>
      <c r="C56" s="2"/>
      <c r="D56" s="2"/>
      <c r="E56" s="2"/>
      <c r="F56" s="75">
        <f>Assumptions!$E$69</f>
        <v>157.54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1" t="s">
        <v>405</v>
      </c>
      <c r="C57" s="2"/>
      <c r="D57" s="2"/>
      <c r="E57" s="2"/>
      <c r="F57" s="61">
        <f>F55/F56-1</f>
        <v>-0.93531417127355154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191" t="s">
        <v>406</v>
      </c>
      <c r="C59" s="192"/>
      <c r="D59" s="192"/>
      <c r="E59" s="192"/>
      <c r="F59" s="192"/>
      <c r="G59" s="192"/>
      <c r="H59" s="192"/>
      <c r="I59" s="192"/>
      <c r="J59" s="193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5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1" t="s">
        <v>407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1" t="s">
        <v>408</v>
      </c>
      <c r="C62" s="76">
        <f>Assumptions!$E$57+(-0.005)</f>
        <v>0.02</v>
      </c>
      <c r="D62" s="76">
        <f>Assumptions!$E$57+(-0.0025)</f>
        <v>2.2500000000000003E-2</v>
      </c>
      <c r="E62" s="76">
        <f>Assumptions!$E$57+(0)</f>
        <v>2.5000000000000001E-2</v>
      </c>
      <c r="F62" s="76">
        <f>Assumptions!$E$57+(0.0025)</f>
        <v>2.75E-2</v>
      </c>
      <c r="G62" s="76">
        <f>Assumptions!$E$57+(0.005)</f>
        <v>3.0000000000000002E-2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77">
        <f>F9+(-0.01)</f>
        <v>8.8419714469315638E-2</v>
      </c>
      <c r="C63" s="74">
        <f>((SUMPRODUCT($F$24:$J$24,1/(1+$B63)^$F$28:$J$28)+(((('IS Forecast'!$J$32*(1+C$62)*(1-$F$19))+$F$36-$F$36+(-(C$62*'BS &amp; CF Forecast'!$J$45)))/(IF($B63=C$62,0.0001,$B63-C$62)))*(1/(1+$B63)^$J$28)))-Assumptions!$E$66)/Assumptions!$E$68</f>
        <v>11.011444504421414</v>
      </c>
      <c r="D63" s="74">
        <f>((SUMPRODUCT($F$24:$J$24,1/(1+$B63)^$F$28:$J$28)+(((('IS Forecast'!$J$32*(1+D$62)*(1-$F$19))+$F$36-$F$36+(-(D$62*'BS &amp; CF Forecast'!$J$45)))/(IF($B63=D$62,0.0001,$B63-D$62)))*(1/(1+$B63)^$J$28)))-Assumptions!$E$66)/Assumptions!$E$68</f>
        <v>11.353651840820104</v>
      </c>
      <c r="E63" s="74">
        <f>((SUMPRODUCT($F$24:$J$24,1/(1+$B63)^$F$28:$J$28)+(((('IS Forecast'!$J$32*(1+E$62)*(1-$F$19))+$F$36-$F$36+(-(E$62*'BS &amp; CF Forecast'!$J$45)))/(IF($B63=E$62,0.0001,$B63-E$62)))*(1/(1+$B63)^$J$28)))-Assumptions!$E$66)/Assumptions!$E$68</f>
        <v>11.722838748103195</v>
      </c>
      <c r="F63" s="74">
        <f>((SUMPRODUCT($F$24:$J$24,1/(1+$B63)^$F$28:$J$28)+(((('IS Forecast'!$J$32*(1+F$62)*(1-$F$19))+$F$36-$F$36+(-(F$62*'BS &amp; CF Forecast'!$J$45)))/(IF($B63=F$62,0.0001,$B63-F$62)))*(1/(1+$B63)^$J$28)))-Assumptions!$E$66)/Assumptions!$E$68</f>
        <v>12.122326758280407</v>
      </c>
      <c r="G63" s="74">
        <f>((SUMPRODUCT($F$24:$J$24,1/(1+$B63)^$F$28:$J$28)+(((('IS Forecast'!$J$32*(1+G$62)*(1-$F$19))+$F$36-$F$36+(-(G$62*'BS &amp; CF Forecast'!$J$45)))/(IF($B63=G$62,0.0001,$B63-G$62)))*(1/(1+$B63)^$J$28)))-Assumptions!$E$66)/Assumptions!$E$68</f>
        <v>12.556005966908879</v>
      </c>
      <c r="H63" s="2"/>
      <c r="I63" s="2"/>
      <c r="J63" s="2"/>
      <c r="K63" s="56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77">
        <f>F9+(-0.005)</f>
        <v>9.3419714469315629E-2</v>
      </c>
      <c r="C64" s="74">
        <f>((SUMPRODUCT($F$24:$J$24,1/(1+$B64)^$F$28:$J$28)+(((('IS Forecast'!$J$32*(1+C$62)*(1-$F$19))+$F$36-$F$36+(-(C$62*'BS &amp; CF Forecast'!$J$45)))/(IF($B64=C$62,0.0001,$B64-C$62)))*(1/(1+$B64)^$J$28)))-Assumptions!$E$66)/Assumptions!$E$68</f>
        <v>10.292748417587893</v>
      </c>
      <c r="D64" s="74">
        <f>((SUMPRODUCT($F$24:$J$24,1/(1+$B64)^$F$28:$J$28)+(((('IS Forecast'!$J$32*(1+D$62)*(1-$F$19))+$F$36-$F$36+(-(D$62*'BS &amp; CF Forecast'!$J$45)))/(IF($B64=D$62,0.0001,$B64-D$62)))*(1/(1+$B64)^$J$28)))-Assumptions!$E$66)/Assumptions!$E$68</f>
        <v>10.584715302476004</v>
      </c>
      <c r="E64" s="74">
        <f>((SUMPRODUCT($F$24:$J$24,1/(1+$B64)^$F$28:$J$28)+(((('IS Forecast'!$J$32*(1+E$62)*(1-$F$19))+$F$36-$F$36+(-(E$62*'BS &amp; CF Forecast'!$J$45)))/(IF($B64=E$62,0.0001,$B64-E$62)))*(1/(1+$B64)^$J$28)))-Assumptions!$E$66)/Assumptions!$E$68</f>
        <v>10.898018646245351</v>
      </c>
      <c r="F64" s="74">
        <f>((SUMPRODUCT($F$24:$J$24,1/(1+$B64)^$F$28:$J$28)+(((('IS Forecast'!$J$32*(1+F$62)*(1-$F$19))+$F$36-$F$36+(-(F$62*'BS &amp; CF Forecast'!$J$45)))/(IF($B64=F$62,0.0001,$B64-F$62)))*(1/(1+$B64)^$J$28)))-Assumptions!$E$66)/Assumptions!$E$68</f>
        <v>11.235085999483767</v>
      </c>
      <c r="G64" s="74">
        <f>((SUMPRODUCT($F$24:$J$24,1/(1+$B64)^$F$28:$J$28)+(((('IS Forecast'!$J$32*(1+G$62)*(1-$F$19))+$F$36-$F$36+(-(G$62*'BS &amp; CF Forecast'!$J$45)))/(IF($B64=G$62,0.0001,$B64-G$62)))*(1/(1+$B64)^$J$28)))-Assumptions!$E$66)/Assumptions!$E$68</f>
        <v>11.598727688168097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77">
        <f>F9+(0)</f>
        <v>9.8419714469315633E-2</v>
      </c>
      <c r="C65" s="74">
        <f>((SUMPRODUCT($F$24:$J$24,1/(1+$B65)^$F$28:$J$28)+(((('IS Forecast'!$J$32*(1+C$62)*(1-$F$19))+$F$36-$F$36+(-(C$62*'BS &amp; CF Forecast'!$J$45)))/(IF($B65=C$62,0.0001,$B65-C$62)))*(1/(1+$B65)^$J$28)))-Assumptions!$E$66)/Assumptions!$E$68</f>
        <v>9.6704172137143978</v>
      </c>
      <c r="D65" s="74">
        <f>((SUMPRODUCT($F$24:$J$24,1/(1+$B65)^$F$28:$J$28)+(((('IS Forecast'!$J$32*(1+D$62)*(1-$F$19))+$F$36-$F$36+(-(D$62*'BS &amp; CF Forecast'!$J$45)))/(IF($B65=D$62,0.0001,$B65-D$62)))*(1/(1+$B65)^$J$28)))-Assumptions!$E$66)/Assumptions!$E$68</f>
        <v>9.9219465602138506</v>
      </c>
      <c r="E65" s="78">
        <f>((SUMPRODUCT($F$24:$J$24,1/(1+$B65)^$F$28:$J$28)+(((('IS Forecast'!$J$32*(1+E$62)*(1-$F$19))+$F$36-$F$36+(-(E$62*'BS &amp; CF Forecast'!$J$45)))/(IF($B65=E$62,0.0001,$B65-E$62)))*(1/(1+$B65)^$J$28)))-Assumptions!$E$66)/Assumptions!$E$68</f>
        <v>10.190605457564695</v>
      </c>
      <c r="F65" s="74">
        <f>((SUMPRODUCT($F$24:$J$24,1/(1+$B65)^$F$28:$J$28)+(((('IS Forecast'!$J$32*(1+F$62)*(1-$F$19))+$F$36-$F$36+(-(F$62*'BS &amp; CF Forecast'!$J$45)))/(IF($B65=F$62,0.0001,$B65-F$62)))*(1/(1+$B65)^$J$28)))-Assumptions!$E$66)/Assumptions!$E$68</f>
        <v>10.478205413784803</v>
      </c>
      <c r="G65" s="74">
        <f>((SUMPRODUCT($F$24:$J$24,1/(1+$B65)^$F$28:$J$28)+(((('IS Forecast'!$J$32*(1+G$62)*(1-$F$19))+$F$36-$F$36+(-(G$62*'BS &amp; CF Forecast'!$J$45)))/(IF($B65=G$62,0.0001,$B65-G$62)))*(1/(1+$B65)^$J$28)))-Assumptions!$E$66)/Assumptions!$E$68</f>
        <v>10.786822700934366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77">
        <f>F9+(0.005)</f>
        <v>0.10341971446931564</v>
      </c>
      <c r="C66" s="74">
        <f>((SUMPRODUCT($F$24:$J$24,1/(1+$B66)^$F$28:$J$28)+(((('IS Forecast'!$J$32*(1+C$62)*(1-$F$19))+$F$36-$F$36+(-(C$62*'BS &amp; CF Forecast'!$J$45)))/(IF($B66=C$62,0.0001,$B66-C$62)))*(1/(1+$B66)^$J$28)))-Assumptions!$E$66)/Assumptions!$E$68</f>
        <v>9.127016155304517</v>
      </c>
      <c r="D66" s="74">
        <f>((SUMPRODUCT($F$24:$J$24,1/(1+$B66)^$F$28:$J$28)+(((('IS Forecast'!$J$32*(1+D$62)*(1-$F$19))+$F$36-$F$36+(-(D$62*'BS &amp; CF Forecast'!$J$45)))/(IF($B66=D$62,0.0001,$B66-D$62)))*(1/(1+$B66)^$J$28)))-Assumptions!$E$66)/Assumptions!$E$68</f>
        <v>9.3455548167173674</v>
      </c>
      <c r="E66" s="74">
        <f>((SUMPRODUCT($F$24:$J$24,1/(1+$B66)^$F$28:$J$28)+(((('IS Forecast'!$J$32*(1+E$62)*(1-$F$19))+$F$36-$F$36+(-(E$62*'BS &amp; CF Forecast'!$J$45)))/(IF($B66=E$62,0.0001,$B66-E$62)))*(1/(1+$B66)^$J$28)))-Assumptions!$E$66)/Assumptions!$E$68</f>
        <v>9.5780273889389775</v>
      </c>
      <c r="F66" s="74">
        <f>((SUMPRODUCT($F$24:$J$24,1/(1+$B66)^$F$28:$J$28)+(((('IS Forecast'!$J$32*(1+F$62)*(1-$F$19))+$F$36-$F$36+(-(F$62*'BS &amp; CF Forecast'!$J$45)))/(IF($B66=F$62,0.0001,$B66-F$62)))*(1/(1+$B66)^$J$28)))-Assumptions!$E$66)/Assumptions!$E$68</f>
        <v>9.8258103830876653</v>
      </c>
      <c r="G66" s="74">
        <f>((SUMPRODUCT($F$24:$J$24,1/(1+$B66)^$F$28:$J$28)+(((('IS Forecast'!$J$32*(1+G$62)*(1-$F$19))+$F$36-$F$36+(-(G$62*'BS &amp; CF Forecast'!$J$45)))/(IF($B66=G$62,0.0001,$B66-G$62)))*(1/(1+$B66)^$J$28)))-Assumptions!$E$66)/Assumptions!$E$68</f>
        <v>10.090467795499871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77">
        <f>F9+(0.01)</f>
        <v>0.10841971446931563</v>
      </c>
      <c r="C67" s="74">
        <f>((SUMPRODUCT($F$24:$J$24,1/(1+$B67)^$F$28:$J$28)+(((('IS Forecast'!$J$32*(1+C$62)*(1-$F$19))+$F$36-$F$36+(-(C$62*'BS &amp; CF Forecast'!$J$45)))/(IF($B67=C$62,0.0001,$B67-C$62)))*(1/(1+$B67)^$J$28)))-Assumptions!$E$66)/Assumptions!$E$68</f>
        <v>8.64905707686356</v>
      </c>
      <c r="D67" s="74">
        <f>((SUMPRODUCT($F$24:$J$24,1/(1+$B67)^$F$28:$J$28)+(((('IS Forecast'!$J$32*(1+D$62)*(1-$F$19))+$F$36-$F$36+(-(D$62*'BS &amp; CF Forecast'!$J$45)))/(IF($B67=D$62,0.0001,$B67-D$62)))*(1/(1+$B67)^$J$28)))-Assumptions!$E$66)/Assumptions!$E$68</f>
        <v>8.8403591197553482</v>
      </c>
      <c r="E67" s="74">
        <f>((SUMPRODUCT($F$24:$J$24,1/(1+$B67)^$F$28:$J$28)+(((('IS Forecast'!$J$32*(1+E$62)*(1-$F$19))+$F$36-$F$36+(-(E$62*'BS &amp; CF Forecast'!$J$45)))/(IF($B67=E$62,0.0001,$B67-E$62)))*(1/(1+$B67)^$J$28)))-Assumptions!$E$66)/Assumptions!$E$68</f>
        <v>9.0431273996217385</v>
      </c>
      <c r="F67" s="74">
        <f>((SUMPRODUCT($F$24:$J$24,1/(1+$B67)^$F$28:$J$28)+(((('IS Forecast'!$J$32*(1+F$62)*(1-$F$19))+$F$36-$F$36+(-(F$62*'BS &amp; CF Forecast'!$J$45)))/(IF($B67=F$62,0.0001,$B67-F$62)))*(1/(1+$B67)^$J$28)))-Assumptions!$E$66)/Assumptions!$E$68</f>
        <v>9.2584246584394378</v>
      </c>
      <c r="G67" s="74">
        <f>((SUMPRODUCT($F$24:$J$24,1/(1+$B67)^$F$28:$J$28)+(((('IS Forecast'!$J$32*(1+G$62)*(1-$F$19))+$F$36-$F$36+(-(G$62*'BS &amp; CF Forecast'!$J$45)))/(IF($B67=G$62,0.0001,$B67-G$62)))*(1/(1+$B67)^$J$28)))-Assumptions!$E$66)/Assumptions!$E$68</f>
        <v>9.4874491579309055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1" t="s">
        <v>409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1" t="s">
        <v>410</v>
      </c>
      <c r="C70" s="79">
        <f>Assumptions!$E$58+(-1)</f>
        <v>17</v>
      </c>
      <c r="D70" s="79">
        <f>Assumptions!$E$58+(-0.5)</f>
        <v>17.5</v>
      </c>
      <c r="E70" s="79">
        <f>Assumptions!$E$58+(0)</f>
        <v>18</v>
      </c>
      <c r="F70" s="79">
        <f>Assumptions!$E$58+(0.5)</f>
        <v>18.5</v>
      </c>
      <c r="G70" s="79">
        <f>Assumptions!$E$58+(1)</f>
        <v>19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77">
        <f>F9+(-0.01)</f>
        <v>8.8419714469315638E-2</v>
      </c>
      <c r="C71" s="80">
        <f>((SUMPRODUCT($F$24:$J$24,1/(1+$B71)^$F$28:$J$28)+(('IS Forecast'!$J$26*C$70)*(1/(1+$B71)^$J$28)))-Assumptions!$E$66)/Assumptions!$E$68</f>
        <v>29.728210802924714</v>
      </c>
      <c r="D71" s="80">
        <f>((SUMPRODUCT($F$24:$J$24,1/(1+$B71)^$F$28:$J$28)+(('IS Forecast'!$J$26*D$70)*(1/(1+$B71)^$J$28)))-Assumptions!$E$66)/Assumptions!$E$68</f>
        <v>30.524099423761907</v>
      </c>
      <c r="E71" s="80">
        <f>((SUMPRODUCT($F$24:$J$24,1/(1+$B71)^$F$28:$J$28)+(('IS Forecast'!$J$26*E$70)*(1/(1+$B71)^$J$28)))-Assumptions!$E$66)/Assumptions!$E$68</f>
        <v>31.3199880445991</v>
      </c>
      <c r="F71" s="80">
        <f>((SUMPRODUCT($F$24:$J$24,1/(1+$B71)^$F$28:$J$28)+(('IS Forecast'!$J$26*F$70)*(1/(1+$B71)^$J$28)))-Assumptions!$E$66)/Assumptions!$E$68</f>
        <v>32.115876665436289</v>
      </c>
      <c r="G71" s="80">
        <f>((SUMPRODUCT($F$24:$J$24,1/(1+$B71)^$F$28:$J$28)+(('IS Forecast'!$J$26*G$70)*(1/(1+$B71)^$J$28)))-Assumptions!$E$66)/Assumptions!$E$68</f>
        <v>32.911765286273486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77">
        <f>F9+(-0.005)</f>
        <v>9.3419714469315629E-2</v>
      </c>
      <c r="C72" s="80">
        <f>((SUMPRODUCT($F$24:$J$24,1/(1+$B72)^$F$28:$J$28)+(('IS Forecast'!$J$26*C$70)*(1/(1+$B72)^$J$28)))-Assumptions!$E$66)/Assumptions!$E$68</f>
        <v>29.184041197019695</v>
      </c>
      <c r="D72" s="80">
        <f>((SUMPRODUCT($F$24:$J$24,1/(1+$B72)^$F$28:$J$28)+(('IS Forecast'!$J$26*D$70)*(1/(1+$B72)^$J$28)))-Assumptions!$E$66)/Assumptions!$E$68</f>
        <v>29.963682867437097</v>
      </c>
      <c r="E72" s="80">
        <f>((SUMPRODUCT($F$24:$J$24,1/(1+$B72)^$F$28:$J$28)+(('IS Forecast'!$J$26*E$70)*(1/(1+$B72)^$J$28)))-Assumptions!$E$66)/Assumptions!$E$68</f>
        <v>30.743324537854498</v>
      </c>
      <c r="F72" s="80">
        <f>((SUMPRODUCT($F$24:$J$24,1/(1+$B72)^$F$28:$J$28)+(('IS Forecast'!$J$26*F$70)*(1/(1+$B72)^$J$28)))-Assumptions!$E$66)/Assumptions!$E$68</f>
        <v>31.5229662082719</v>
      </c>
      <c r="G72" s="80">
        <f>((SUMPRODUCT($F$24:$J$24,1/(1+$B72)^$F$28:$J$28)+(('IS Forecast'!$J$26*G$70)*(1/(1+$B72)^$J$28)))-Assumptions!$E$66)/Assumptions!$E$68</f>
        <v>32.302607878689301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77">
        <f>F9+(0)</f>
        <v>9.8419714469315633E-2</v>
      </c>
      <c r="C73" s="80">
        <f>((SUMPRODUCT($F$24:$J$24,1/(1+$B73)^$F$28:$J$28)+(('IS Forecast'!$J$26*C$70)*(1/(1+$B73)^$J$28)))-Assumptions!$E$66)/Assumptions!$E$68</f>
        <v>28.653569163567564</v>
      </c>
      <c r="D73" s="80">
        <f>((SUMPRODUCT($F$24:$J$24,1/(1+$B73)^$F$28:$J$28)+(('IS Forecast'!$J$26*D$70)*(1/(1+$B73)^$J$28)))-Assumptions!$E$66)/Assumptions!$E$68</f>
        <v>29.417367411262109</v>
      </c>
      <c r="E73" s="78">
        <f>((SUMPRODUCT($F$24:$J$24,1/(1+$B73)^$F$28:$J$28)+(('IS Forecast'!$J$26*E$70)*(1/(1+$B73)^$J$28)))-Assumptions!$E$66)/Assumptions!$E$68</f>
        <v>30.181165658956651</v>
      </c>
      <c r="F73" s="80">
        <f>((SUMPRODUCT($F$24:$J$24,1/(1+$B73)^$F$28:$J$28)+(('IS Forecast'!$J$26*F$70)*(1/(1+$B73)^$J$28)))-Assumptions!$E$66)/Assumptions!$E$68</f>
        <v>30.944963906651193</v>
      </c>
      <c r="G73" s="80">
        <f>((SUMPRODUCT($F$24:$J$24,1/(1+$B73)^$F$28:$J$28)+(('IS Forecast'!$J$26*G$70)*(1/(1+$B73)^$J$28)))-Assumptions!$E$66)/Assumptions!$E$68</f>
        <v>31.708762154345738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77">
        <f>F9+(0.005)</f>
        <v>0.10341971446931564</v>
      </c>
      <c r="C74" s="80">
        <f>((SUMPRODUCT($F$24:$J$24,1/(1+$B74)^$F$28:$J$28)+(('IS Forecast'!$J$26*C$70)*(1/(1+$B74)^$J$28)))-Assumptions!$E$66)/Assumptions!$E$68</f>
        <v>28.136392181101513</v>
      </c>
      <c r="D74" s="80">
        <f>((SUMPRODUCT($F$24:$J$24,1/(1+$B74)^$F$28:$J$28)+(('IS Forecast'!$J$26*D$70)*(1/(1+$B74)^$J$28)))-Assumptions!$E$66)/Assumptions!$E$68</f>
        <v>28.884738742348762</v>
      </c>
      <c r="E74" s="80">
        <f>((SUMPRODUCT($F$24:$J$24,1/(1+$B74)^$F$28:$J$28)+(('IS Forecast'!$J$26*E$70)*(1/(1+$B74)^$J$28)))-Assumptions!$E$66)/Assumptions!$E$68</f>
        <v>29.633085303596012</v>
      </c>
      <c r="F74" s="80">
        <f>((SUMPRODUCT($F$24:$J$24,1/(1+$B74)^$F$28:$J$28)+(('IS Forecast'!$J$26*F$70)*(1/(1+$B74)^$J$28)))-Assumptions!$E$66)/Assumptions!$E$68</f>
        <v>30.381431864843258</v>
      </c>
      <c r="G74" s="80">
        <f>((SUMPRODUCT($F$24:$J$24,1/(1+$B74)^$F$28:$J$28)+(('IS Forecast'!$J$26*G$70)*(1/(1+$B74)^$J$28)))-Assumptions!$E$66)/Assumptions!$E$68</f>
        <v>31.12977842609051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77">
        <f>F9+(0.01)</f>
        <v>0.10841971446931563</v>
      </c>
      <c r="C75" s="80">
        <f>((SUMPRODUCT($F$24:$J$24,1/(1+$B75)^$F$28:$J$28)+(('IS Forecast'!$J$26*C$70)*(1/(1+$B75)^$J$28)))-Assumptions!$E$66)/Assumptions!$E$68</f>
        <v>27.632121279810178</v>
      </c>
      <c r="D75" s="80">
        <f>((SUMPRODUCT($F$24:$J$24,1/(1+$B75)^$F$28:$J$28)+(('IS Forecast'!$J$26*D$70)*(1/(1+$B75)^$J$28)))-Assumptions!$E$66)/Assumptions!$E$68</f>
        <v>28.365396495246603</v>
      </c>
      <c r="E75" s="80">
        <f>((SUMPRODUCT($F$24:$J$24,1/(1+$B75)^$F$28:$J$28)+(('IS Forecast'!$J$26*E$70)*(1/(1+$B75)^$J$28)))-Assumptions!$E$66)/Assumptions!$E$68</f>
        <v>29.098671710683025</v>
      </c>
      <c r="F75" s="80">
        <f>((SUMPRODUCT($F$24:$J$24,1/(1+$B75)^$F$28:$J$28)+(('IS Forecast'!$J$26*F$70)*(1/(1+$B75)^$J$28)))-Assumptions!$E$66)/Assumptions!$E$68</f>
        <v>29.83194692611945</v>
      </c>
      <c r="G75" s="80">
        <f>((SUMPRODUCT($F$24:$J$24,1/(1+$B75)^$F$28:$J$28)+(('IS Forecast'!$J$26*G$70)*(1/(1+$B75)^$J$28)))-Assumptions!$E$66)/Assumptions!$E$68</f>
        <v>30.565222141555875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191" t="s">
        <v>411</v>
      </c>
      <c r="C77" s="192"/>
      <c r="D77" s="192"/>
      <c r="E77" s="192"/>
      <c r="F77" s="192"/>
      <c r="G77" s="192"/>
      <c r="H77" s="192"/>
      <c r="I77" s="192"/>
      <c r="J77" s="193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1" t="s">
        <v>412</v>
      </c>
      <c r="C78" s="2"/>
      <c r="D78" s="2"/>
      <c r="E78" s="2"/>
      <c r="F78" s="81">
        <f>F49/Input!E15</f>
        <v>3.8626613421104317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1" t="s">
        <v>413</v>
      </c>
      <c r="C79" s="2"/>
      <c r="D79" s="2"/>
      <c r="E79" s="2"/>
      <c r="F79" s="81">
        <f>F49/'IS Forecast'!F12</f>
        <v>2.8592877521678215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1" t="s">
        <v>414</v>
      </c>
      <c r="C80" s="2"/>
      <c r="D80" s="2"/>
      <c r="E80" s="2"/>
      <c r="F80" s="81">
        <f>F49/Input!E26</f>
        <v>10.955549499175303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1" t="s">
        <v>415</v>
      </c>
      <c r="C81" s="2"/>
      <c r="D81" s="2"/>
      <c r="E81" s="2"/>
      <c r="F81" s="81">
        <f>F49/'IS Forecast'!F26</f>
        <v>7.7117282774890485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1" t="s">
        <v>416</v>
      </c>
      <c r="C82" s="2"/>
      <c r="D82" s="2"/>
      <c r="E82" s="2"/>
      <c r="F82" s="82">
        <f>IF('IS Forecast'!F41&lt;=0,"n.m.",F53/'IS Forecast'!F41)</f>
        <v>31.384977561884185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mergeCells count="9">
    <mergeCell ref="B59:J59"/>
    <mergeCell ref="B77:J77"/>
    <mergeCell ref="B1:J1"/>
    <mergeCell ref="B2:J2"/>
    <mergeCell ref="B5:J5"/>
    <mergeCell ref="B11:J11"/>
    <mergeCell ref="B26:J26"/>
    <mergeCell ref="B33:J33"/>
    <mergeCell ref="B46:J46"/>
  </mergeCells>
  <conditionalFormatting sqref="C63:G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1:G7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99"/>
  <sheetViews>
    <sheetView showGridLines="0" workbookViewId="0"/>
  </sheetViews>
  <sheetFormatPr defaultColWidth="14.44140625" defaultRowHeight="15" customHeight="1"/>
  <cols>
    <col min="1" max="1" width="30" customWidth="1"/>
    <col min="2" max="2" width="14" customWidth="1"/>
    <col min="3" max="3" width="18" customWidth="1"/>
    <col min="4" max="4" width="14" customWidth="1"/>
    <col min="5" max="5" width="25.44140625" customWidth="1"/>
    <col min="6" max="10" width="14" customWidth="1"/>
    <col min="11" max="11" width="8.6640625" customWidth="1"/>
  </cols>
  <sheetData>
    <row r="1" spans="1:25" ht="36" customHeight="1">
      <c r="A1" s="209" t="s">
        <v>417</v>
      </c>
      <c r="B1" s="176"/>
      <c r="C1" s="176"/>
      <c r="D1" s="176"/>
      <c r="E1" s="176"/>
      <c r="F1" s="176"/>
      <c r="G1" s="176"/>
      <c r="H1" s="176"/>
      <c r="I1" s="176"/>
      <c r="J1" s="173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6.5" customHeight="1">
      <c r="A2" s="185" t="str">
        <f>IF(Assumptions!$B$4=1,"BEAR",IF(Assumptions!$B$4=2,"BASE","BULL"))&amp;", S-1/A Amendment No.2 (filed 2026-06-03)"</f>
        <v>BASE, S-1/A Amendment No.2 (filed 2026-06-03)</v>
      </c>
      <c r="B2" s="176"/>
      <c r="C2" s="176"/>
      <c r="D2" s="176"/>
      <c r="E2" s="176"/>
      <c r="F2" s="176"/>
      <c r="G2" s="176"/>
      <c r="H2" s="176"/>
      <c r="I2" s="176"/>
      <c r="J2" s="173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5.5" customHeight="1">
      <c r="A3" s="83" t="s">
        <v>418</v>
      </c>
      <c r="B3" s="84"/>
      <c r="C3" s="83" t="s">
        <v>419</v>
      </c>
      <c r="D3" s="84"/>
      <c r="E3" s="83" t="s">
        <v>420</v>
      </c>
      <c r="F3" s="84"/>
      <c r="G3" s="83" t="s">
        <v>398</v>
      </c>
      <c r="H3" s="84"/>
      <c r="I3" s="83" t="s">
        <v>421</v>
      </c>
      <c r="J3" s="84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42" customHeight="1">
      <c r="A4" s="85">
        <f>DCF!F55</f>
        <v>10.190605457564695</v>
      </c>
      <c r="B4" s="86"/>
      <c r="C4" s="87">
        <f>DCF!F56</f>
        <v>157.54</v>
      </c>
      <c r="D4" s="210"/>
      <c r="E4" s="88">
        <f>DCF!F57</f>
        <v>-0.93531417127355154</v>
      </c>
      <c r="F4" s="86"/>
      <c r="G4" s="89">
        <f>DCF!F49</f>
        <v>72131.337902570202</v>
      </c>
      <c r="H4" s="86"/>
      <c r="I4" s="88">
        <f>DCF!F44</f>
        <v>1.3607125414509811</v>
      </c>
      <c r="J4" s="90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8.25" customHeight="1">
      <c r="A5" s="91" t="str">
        <f>"Rating (active scenario, " &amp; IF(Assumptions!$E$59=1,"GGM estimate",IF(Assumptions!$E$59=2,"Exit Multiple","Unknown")) &amp; ")"</f>
        <v>Rating (active scenario, GGM estimate)</v>
      </c>
      <c r="B5" s="92"/>
      <c r="C5" s="93" t="str">
        <f>IF(DCF!F57&gt;0.15,"BUY",IF(DCF!F57&lt;-0.1,"SELL","HOLD"))</f>
        <v>SELL</v>
      </c>
      <c r="D5" s="204"/>
      <c r="E5" s="211" t="s">
        <v>422</v>
      </c>
      <c r="F5" s="204"/>
      <c r="G5" s="204"/>
      <c r="H5" s="204"/>
      <c r="I5" s="204"/>
      <c r="J5" s="205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9.5" customHeight="1">
      <c r="A6" s="212" t="s">
        <v>423</v>
      </c>
      <c r="B6" s="204"/>
      <c r="C6" s="204"/>
      <c r="D6" s="204"/>
      <c r="E6" s="204"/>
      <c r="F6" s="204"/>
      <c r="G6" s="204"/>
      <c r="H6" s="204"/>
      <c r="I6" s="204"/>
      <c r="J6" s="205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" customHeight="1">
      <c r="A7" s="94" t="s">
        <v>424</v>
      </c>
      <c r="B7" s="13"/>
      <c r="C7" s="95" t="s">
        <v>35</v>
      </c>
      <c r="D7" s="13"/>
      <c r="E7" s="95" t="s">
        <v>36</v>
      </c>
      <c r="F7" s="13"/>
      <c r="G7" s="95" t="s">
        <v>37</v>
      </c>
      <c r="H7" s="213"/>
      <c r="I7" s="176"/>
      <c r="J7" s="173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8" customHeight="1">
      <c r="A8" s="25" t="s">
        <v>123</v>
      </c>
      <c r="B8" s="197"/>
      <c r="C8" s="96">
        <v>0.117028597783014</v>
      </c>
      <c r="D8" s="197"/>
      <c r="E8" s="97">
        <v>9.8000000000000004E-2</v>
      </c>
      <c r="F8" s="197"/>
      <c r="G8" s="98">
        <v>8.6168999785798395E-2</v>
      </c>
      <c r="H8" s="198"/>
      <c r="I8" s="199"/>
      <c r="J8" s="200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8" customHeight="1">
      <c r="A9" s="99" t="s">
        <v>425</v>
      </c>
      <c r="B9" s="181"/>
      <c r="C9" s="96">
        <v>0.02</v>
      </c>
      <c r="D9" s="181"/>
      <c r="E9" s="97">
        <v>2.5000000000000001E-2</v>
      </c>
      <c r="F9" s="181"/>
      <c r="G9" s="98">
        <v>2.9000000000000001E-2</v>
      </c>
      <c r="H9" s="201"/>
      <c r="I9" s="190"/>
      <c r="J9" s="202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8" customHeight="1">
      <c r="A10" s="25" t="s">
        <v>426</v>
      </c>
      <c r="B10" s="181"/>
      <c r="C10" s="100">
        <v>1.5535051753939499</v>
      </c>
      <c r="D10" s="181"/>
      <c r="E10" s="101">
        <v>10.19</v>
      </c>
      <c r="F10" s="181"/>
      <c r="G10" s="102">
        <v>32.633870824833899</v>
      </c>
      <c r="H10" s="201"/>
      <c r="I10" s="190"/>
      <c r="J10" s="202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8" customHeight="1">
      <c r="A11" s="103" t="s">
        <v>427</v>
      </c>
      <c r="B11" s="181"/>
      <c r="C11" s="96">
        <v>-0.98986161211646595</v>
      </c>
      <c r="D11" s="181"/>
      <c r="E11" s="97">
        <v>-0.93500000000000005</v>
      </c>
      <c r="F11" s="181"/>
      <c r="G11" s="98">
        <v>-0.78702688230219997</v>
      </c>
      <c r="H11" s="201"/>
      <c r="I11" s="190"/>
      <c r="J11" s="202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8" customHeight="1">
      <c r="A12" s="25" t="s">
        <v>398</v>
      </c>
      <c r="B12" s="181"/>
      <c r="C12" s="104">
        <v>-40806.521677066303</v>
      </c>
      <c r="D12" s="181"/>
      <c r="E12" s="105">
        <v>72131</v>
      </c>
      <c r="F12" s="181"/>
      <c r="G12" s="106">
        <v>365597.231518446</v>
      </c>
      <c r="H12" s="201"/>
      <c r="I12" s="190"/>
      <c r="J12" s="202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8" customHeight="1">
      <c r="A13" s="103" t="s">
        <v>428</v>
      </c>
      <c r="B13" s="181"/>
      <c r="C13" s="104">
        <v>-39680.343834583997</v>
      </c>
      <c r="D13" s="181"/>
      <c r="E13" s="105">
        <v>-26019</v>
      </c>
      <c r="F13" s="181"/>
      <c r="G13" s="106">
        <v>20519.771101103099</v>
      </c>
      <c r="H13" s="201"/>
      <c r="I13" s="190"/>
      <c r="J13" s="202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8" customHeight="1">
      <c r="A14" s="25" t="s">
        <v>429</v>
      </c>
      <c r="B14" s="181"/>
      <c r="C14" s="104">
        <v>-1126.1778424822601</v>
      </c>
      <c r="D14" s="181"/>
      <c r="E14" s="105">
        <v>98150</v>
      </c>
      <c r="F14" s="181"/>
      <c r="G14" s="106">
        <v>345077.46041734301</v>
      </c>
      <c r="H14" s="201"/>
      <c r="I14" s="190"/>
      <c r="J14" s="202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8" customHeight="1">
      <c r="A15" s="103" t="s">
        <v>430</v>
      </c>
      <c r="B15" s="181"/>
      <c r="C15" s="96">
        <v>2.7597986699150302E-2</v>
      </c>
      <c r="D15" s="181"/>
      <c r="E15" s="97">
        <v>1.361</v>
      </c>
      <c r="F15" s="181"/>
      <c r="G15" s="98">
        <v>0.943873286414457</v>
      </c>
      <c r="H15" s="201"/>
      <c r="I15" s="190"/>
      <c r="J15" s="202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8" customHeight="1">
      <c r="A16" s="25" t="s">
        <v>402</v>
      </c>
      <c r="B16" s="181"/>
      <c r="C16" s="104">
        <v>20313.478322933701</v>
      </c>
      <c r="D16" s="181"/>
      <c r="E16" s="105">
        <v>133251</v>
      </c>
      <c r="F16" s="181"/>
      <c r="G16" s="106">
        <v>426717.231518446</v>
      </c>
      <c r="H16" s="201"/>
      <c r="I16" s="190"/>
      <c r="J16" s="202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8" customHeight="1">
      <c r="A17" s="103" t="s">
        <v>431</v>
      </c>
      <c r="B17" s="181"/>
      <c r="C17" s="104">
        <v>22391.85</v>
      </c>
      <c r="D17" s="181"/>
      <c r="E17" s="105">
        <v>25227</v>
      </c>
      <c r="F17" s="181"/>
      <c r="G17" s="106">
        <v>27131.9</v>
      </c>
      <c r="H17" s="201"/>
      <c r="I17" s="190"/>
      <c r="J17" s="202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8" customHeight="1">
      <c r="A18" s="25" t="s">
        <v>432</v>
      </c>
      <c r="B18" s="181"/>
      <c r="C18" s="104">
        <v>5917.0363200000002</v>
      </c>
      <c r="D18" s="181"/>
      <c r="E18" s="105">
        <v>9353</v>
      </c>
      <c r="F18" s="181"/>
      <c r="G18" s="106">
        <v>11611.712475</v>
      </c>
      <c r="H18" s="201"/>
      <c r="I18" s="190"/>
      <c r="J18" s="202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1.75" customHeight="1">
      <c r="A19" s="103" t="s">
        <v>433</v>
      </c>
      <c r="B19" s="181"/>
      <c r="C19" s="104">
        <v>37452.993978438397</v>
      </c>
      <c r="D19" s="181"/>
      <c r="E19" s="105">
        <v>62752</v>
      </c>
      <c r="F19" s="181"/>
      <c r="G19" s="106">
        <v>89529.991769175904</v>
      </c>
      <c r="H19" s="201"/>
      <c r="I19" s="190"/>
      <c r="J19" s="202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8" customHeight="1">
      <c r="A20" s="107" t="s">
        <v>434</v>
      </c>
      <c r="B20" s="180"/>
      <c r="C20" s="104">
        <v>14152.543283167201</v>
      </c>
      <c r="D20" s="180"/>
      <c r="E20" s="105">
        <v>30475</v>
      </c>
      <c r="F20" s="180"/>
      <c r="G20" s="106">
        <v>49059.128921699899</v>
      </c>
      <c r="H20" s="203"/>
      <c r="I20" s="204"/>
      <c r="J20" s="205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9.5" customHeight="1">
      <c r="A21" s="206" t="s">
        <v>435</v>
      </c>
      <c r="B21" s="176"/>
      <c r="C21" s="176"/>
      <c r="D21" s="176"/>
      <c r="E21" s="176"/>
      <c r="F21" s="176"/>
      <c r="G21" s="176"/>
      <c r="H21" s="176"/>
      <c r="I21" s="176"/>
      <c r="J21" s="173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1.75" customHeight="1">
      <c r="A22" s="21" t="s">
        <v>424</v>
      </c>
      <c r="B22" s="22" t="s">
        <v>436</v>
      </c>
      <c r="C22" s="22" t="s">
        <v>437</v>
      </c>
      <c r="D22" s="22" t="s">
        <v>438</v>
      </c>
      <c r="E22" s="22" t="s">
        <v>439</v>
      </c>
      <c r="F22" s="22" t="s">
        <v>440</v>
      </c>
      <c r="G22" s="22" t="s">
        <v>441</v>
      </c>
      <c r="H22" s="22" t="s">
        <v>442</v>
      </c>
      <c r="I22" s="22" t="s">
        <v>443</v>
      </c>
      <c r="J22" s="13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8" customHeight="1">
      <c r="A23" s="108" t="s">
        <v>267</v>
      </c>
      <c r="B23" s="41">
        <f>'IS Forecast'!C12</f>
        <v>10387</v>
      </c>
      <c r="C23" s="41">
        <f>'IS Forecast'!D12</f>
        <v>14015</v>
      </c>
      <c r="D23" s="41">
        <f>'IS Forecast'!E12</f>
        <v>18674</v>
      </c>
      <c r="E23" s="41">
        <f>'IS Forecast'!F12</f>
        <v>25227.030000000002</v>
      </c>
      <c r="F23" s="41">
        <f>'IS Forecast'!G12</f>
        <v>33432.92295</v>
      </c>
      <c r="G23" s="41">
        <f>'IS Forecast'!H12</f>
        <v>43013.355026249999</v>
      </c>
      <c r="H23" s="41">
        <f>'IS Forecast'!I12</f>
        <v>53210.420257340622</v>
      </c>
      <c r="I23" s="41">
        <f>'IS Forecast'!J12</f>
        <v>62751.900049459786</v>
      </c>
      <c r="J23" s="197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8" customHeight="1">
      <c r="A24" s="109" t="s">
        <v>444</v>
      </c>
      <c r="B24" s="41">
        <f>'IS Forecast'!C26</f>
        <v>3821</v>
      </c>
      <c r="C24" s="41">
        <f>'IS Forecast'!D26</f>
        <v>5350</v>
      </c>
      <c r="D24" s="41">
        <f>'IS Forecast'!E26</f>
        <v>6584</v>
      </c>
      <c r="E24" s="41">
        <f>'IS Forecast'!F26</f>
        <v>9353.4594720000023</v>
      </c>
      <c r="F24" s="41">
        <f>'IS Forecast'!G26</f>
        <v>12971.850354120001</v>
      </c>
      <c r="G24" s="41">
        <f>'IS Forecast'!H26</f>
        <v>17745.599808321</v>
      </c>
      <c r="H24" s="41">
        <f>'IS Forecast'!I26</f>
        <v>23699.65117673685</v>
      </c>
      <c r="I24" s="41">
        <f>'IS Forecast'!J26</f>
        <v>30474.576538145833</v>
      </c>
      <c r="J24" s="18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8" customHeight="1">
      <c r="A25" s="108" t="s">
        <v>445</v>
      </c>
      <c r="B25" s="47" t="s">
        <v>446</v>
      </c>
      <c r="C25" s="47" t="s">
        <v>446</v>
      </c>
      <c r="D25" s="41">
        <f>'IS Forecast'!E6</f>
        <v>4086</v>
      </c>
      <c r="E25" s="41">
        <f>'IS Forecast'!F6</f>
        <v>4412.88</v>
      </c>
      <c r="F25" s="41">
        <f>'IS Forecast'!G6</f>
        <v>4810.0392000000002</v>
      </c>
      <c r="G25" s="41">
        <f>'IS Forecast'!H6</f>
        <v>5291.0431200000003</v>
      </c>
      <c r="H25" s="41">
        <f>'IS Forecast'!I6</f>
        <v>5873.0578632000006</v>
      </c>
      <c r="I25" s="41">
        <f>'IS Forecast'!J6</f>
        <v>6577.8248067840013</v>
      </c>
      <c r="J25" s="18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8" customHeight="1">
      <c r="A26" s="109" t="s">
        <v>447</v>
      </c>
      <c r="B26" s="47" t="s">
        <v>446</v>
      </c>
      <c r="C26" s="47" t="s">
        <v>446</v>
      </c>
      <c r="D26" s="41">
        <f>'IS Forecast'!E8</f>
        <v>11387</v>
      </c>
      <c r="E26" s="41">
        <f>'IS Forecast'!F8</f>
        <v>15372.45</v>
      </c>
      <c r="F26" s="41">
        <f>'IS Forecast'!G8</f>
        <v>19984.185000000001</v>
      </c>
      <c r="G26" s="41">
        <f>'IS Forecast'!H8</f>
        <v>24980.231250000001</v>
      </c>
      <c r="H26" s="41">
        <f>'IS Forecast'!I8</f>
        <v>29976.2775</v>
      </c>
      <c r="I26" s="41">
        <f>'IS Forecast'!J8</f>
        <v>34472.719124999996</v>
      </c>
      <c r="J26" s="18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8" customHeight="1">
      <c r="A27" s="108" t="s">
        <v>448</v>
      </c>
      <c r="B27" s="47" t="s">
        <v>446</v>
      </c>
      <c r="C27" s="47" t="s">
        <v>446</v>
      </c>
      <c r="D27" s="41">
        <f>'IS Forecast'!E10</f>
        <v>3201</v>
      </c>
      <c r="E27" s="41">
        <f>'IS Forecast'!F10</f>
        <v>5441.7</v>
      </c>
      <c r="F27" s="41">
        <f>'IS Forecast'!G10</f>
        <v>8638.6987499999996</v>
      </c>
      <c r="G27" s="41">
        <f>'IS Forecast'!H10</f>
        <v>12742.08065625</v>
      </c>
      <c r="H27" s="41">
        <f>'IS Forecast'!I10</f>
        <v>17361.084894140626</v>
      </c>
      <c r="I27" s="41">
        <f>'IS Forecast'!J10</f>
        <v>21701.356117675783</v>
      </c>
      <c r="J27" s="180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77"/>
      <c r="B28" s="176"/>
      <c r="C28" s="176"/>
      <c r="D28" s="176"/>
      <c r="E28" s="176"/>
      <c r="F28" s="176"/>
      <c r="G28" s="176"/>
      <c r="H28" s="176"/>
      <c r="I28" s="176"/>
      <c r="J28" s="173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9.5" customHeight="1">
      <c r="A29" s="207" t="s">
        <v>449</v>
      </c>
      <c r="B29" s="199"/>
      <c r="C29" s="199"/>
      <c r="D29" s="199"/>
      <c r="E29" s="199"/>
      <c r="F29" s="199"/>
      <c r="G29" s="199"/>
      <c r="H29" s="199"/>
      <c r="I29" s="199"/>
      <c r="J29" s="200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6.5" customHeight="1">
      <c r="A30" s="110" t="s">
        <v>450</v>
      </c>
      <c r="B30" s="111"/>
      <c r="C30" s="112">
        <f>Assumptions!$E$55</f>
        <v>9.8419714469315633E-2</v>
      </c>
      <c r="D30" s="111"/>
      <c r="E30" s="111" t="s">
        <v>425</v>
      </c>
      <c r="F30" s="111"/>
      <c r="G30" s="112">
        <f>Assumptions!$E$57</f>
        <v>2.5000000000000001E-2</v>
      </c>
      <c r="H30" s="111"/>
      <c r="I30" s="111"/>
      <c r="J30" s="113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6.5" customHeight="1">
      <c r="A31" s="114" t="s">
        <v>451</v>
      </c>
      <c r="B31" s="115"/>
      <c r="C31" s="116">
        <f>Assumptions!$E$58</f>
        <v>18</v>
      </c>
      <c r="D31" s="115"/>
      <c r="E31" s="115" t="s">
        <v>452</v>
      </c>
      <c r="F31" s="115"/>
      <c r="G31" s="117">
        <f>Assumptions!$E$66</f>
        <v>-61120</v>
      </c>
      <c r="H31" s="115"/>
      <c r="I31" s="115"/>
      <c r="J31" s="118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6.5" customHeight="1">
      <c r="A32" s="114" t="s">
        <v>19</v>
      </c>
      <c r="B32" s="115"/>
      <c r="C32" s="117">
        <f>Assumptions!$E$68</f>
        <v>13075.9</v>
      </c>
      <c r="D32" s="115"/>
      <c r="E32" s="115" t="s">
        <v>453</v>
      </c>
      <c r="F32" s="115"/>
      <c r="G32" s="119">
        <f>Assumptions!$E$33</f>
        <v>0.02</v>
      </c>
      <c r="H32" s="115"/>
      <c r="I32" s="115"/>
      <c r="J32" s="118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6.5" customHeight="1">
      <c r="A33" s="114" t="s">
        <v>454</v>
      </c>
      <c r="B33" s="115"/>
      <c r="C33" s="120">
        <f>Assumptions!$E$28</f>
        <v>18</v>
      </c>
      <c r="D33" s="115"/>
      <c r="E33" s="115" t="s">
        <v>455</v>
      </c>
      <c r="F33" s="115"/>
      <c r="G33" s="120">
        <f>Assumptions!$E$29</f>
        <v>6</v>
      </c>
      <c r="H33" s="115"/>
      <c r="I33" s="115"/>
      <c r="J33" s="118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6.5" customHeight="1">
      <c r="A34" s="114" t="s">
        <v>456</v>
      </c>
      <c r="B34" s="115"/>
      <c r="C34" s="120">
        <f>Assumptions!$E$30</f>
        <v>4</v>
      </c>
      <c r="D34" s="115"/>
      <c r="E34" s="115" t="s">
        <v>457</v>
      </c>
      <c r="F34" s="115"/>
      <c r="G34" s="119">
        <f>Assumptions!$E$42</f>
        <v>0.04</v>
      </c>
      <c r="H34" s="115"/>
      <c r="I34" s="115"/>
      <c r="J34" s="118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6.5" customHeight="1">
      <c r="A35" s="114" t="s">
        <v>458</v>
      </c>
      <c r="B35" s="115"/>
      <c r="C35" s="119">
        <f>Assumptions!$E$43</f>
        <v>0.05</v>
      </c>
      <c r="D35" s="115"/>
      <c r="E35" s="115" t="s">
        <v>459</v>
      </c>
      <c r="F35" s="115"/>
      <c r="G35" s="119">
        <f>Assumptions!$E$38</f>
        <v>0.7</v>
      </c>
      <c r="H35" s="115"/>
      <c r="I35" s="115"/>
      <c r="J35" s="118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6.5" customHeight="1">
      <c r="A36" s="121" t="s">
        <v>460</v>
      </c>
      <c r="B36" s="122"/>
      <c r="C36" s="123">
        <f>Assumptions!$E$37</f>
        <v>0.21</v>
      </c>
      <c r="D36" s="122"/>
      <c r="E36" s="122" t="s">
        <v>461</v>
      </c>
      <c r="F36" s="122"/>
      <c r="G36" s="124">
        <f>Assumptions!$E$59</f>
        <v>1</v>
      </c>
      <c r="H36" s="122"/>
      <c r="I36" s="122"/>
      <c r="J36" s="125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7.75" customHeight="1">
      <c r="A37" s="208" t="s">
        <v>462</v>
      </c>
      <c r="B37" s="176"/>
      <c r="C37" s="176"/>
      <c r="D37" s="176"/>
      <c r="E37" s="176"/>
      <c r="F37" s="176"/>
      <c r="G37" s="176"/>
      <c r="H37" s="176"/>
      <c r="I37" s="176"/>
      <c r="J37" s="173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73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" customHeight="1">
      <c r="A43" s="1"/>
      <c r="B43" s="58"/>
      <c r="C43" s="58"/>
      <c r="D43" s="58"/>
      <c r="E43" s="58"/>
      <c r="F43" s="58"/>
      <c r="G43" s="58"/>
      <c r="H43" s="58"/>
      <c r="I43" s="58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" customHeight="1">
      <c r="A44" s="1"/>
      <c r="B44" s="58"/>
      <c r="C44" s="58"/>
      <c r="D44" s="58"/>
      <c r="E44" s="58"/>
      <c r="F44" s="58"/>
      <c r="G44" s="58"/>
      <c r="H44" s="58"/>
      <c r="I44" s="58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" customHeight="1">
      <c r="A45" s="1"/>
      <c r="B45" s="58"/>
      <c r="C45" s="58"/>
      <c r="D45" s="58"/>
      <c r="E45" s="58"/>
      <c r="F45" s="58"/>
      <c r="G45" s="58"/>
      <c r="H45" s="58"/>
      <c r="I45" s="58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customHeight="1">
      <c r="A49" s="1"/>
      <c r="B49" s="1"/>
      <c r="C49" s="61"/>
      <c r="D49" s="1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"/>
      <c r="B50" s="1"/>
      <c r="C50" s="61"/>
      <c r="D50" s="1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"/>
      <c r="B51" s="1"/>
      <c r="C51" s="126"/>
      <c r="D51" s="1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"/>
      <c r="B52" s="1"/>
      <c r="C52" s="58"/>
      <c r="D52" s="1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"/>
      <c r="B53" s="1"/>
      <c r="C53" s="58"/>
      <c r="D53" s="1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"/>
      <c r="B54" s="1"/>
      <c r="C54" s="61"/>
      <c r="D54" s="1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"/>
      <c r="B55" s="1"/>
      <c r="C55" s="126"/>
      <c r="D55" s="1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"/>
      <c r="B56" s="1"/>
      <c r="C56" s="58"/>
      <c r="D56" s="1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"/>
      <c r="B57" s="1"/>
      <c r="C57" s="58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1"/>
      <c r="B59" s="1"/>
      <c r="C59" s="6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1"/>
      <c r="B60" s="1"/>
      <c r="C60" s="6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1"/>
      <c r="B61" s="1"/>
      <c r="C61" s="6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1"/>
      <c r="B62" s="1"/>
      <c r="C62" s="6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</sheetData>
  <mergeCells count="15">
    <mergeCell ref="A37:J37"/>
    <mergeCell ref="J23:J27"/>
    <mergeCell ref="A1:J1"/>
    <mergeCell ref="A2:J2"/>
    <mergeCell ref="D4:D5"/>
    <mergeCell ref="E5:J5"/>
    <mergeCell ref="A6:J6"/>
    <mergeCell ref="B8:B20"/>
    <mergeCell ref="D8:D20"/>
    <mergeCell ref="H7:J7"/>
    <mergeCell ref="F8:F20"/>
    <mergeCell ref="H8:J20"/>
    <mergeCell ref="A21:J21"/>
    <mergeCell ref="A28:J28"/>
    <mergeCell ref="A29:J29"/>
  </mergeCells>
  <pageMargins left="0.25" right="0.25" top="0.75" bottom="0.75" header="0" footer="0"/>
  <pageSetup paperSize="9" scale="5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998"/>
  <sheetViews>
    <sheetView showGridLines="0" workbookViewId="0"/>
  </sheetViews>
  <sheetFormatPr defaultColWidth="14.44140625" defaultRowHeight="15" customHeight="1"/>
  <cols>
    <col min="1" max="1" width="1.5546875" customWidth="1"/>
    <col min="2" max="5" width="28.33203125" customWidth="1"/>
    <col min="6" max="6" width="1.5546875" customWidth="1"/>
    <col min="7" max="26" width="8.6640625" customWidth="1"/>
  </cols>
  <sheetData>
    <row r="1" spans="1:6" ht="37.5" customHeight="1">
      <c r="A1" s="127"/>
      <c r="B1" s="215" t="s">
        <v>463</v>
      </c>
      <c r="C1" s="216"/>
      <c r="D1" s="216"/>
      <c r="E1" s="217"/>
      <c r="F1" s="128"/>
    </row>
    <row r="2" spans="1:6" ht="15.75" customHeight="1">
      <c r="A2" s="129"/>
      <c r="B2" s="218" t="s">
        <v>464</v>
      </c>
      <c r="C2" s="192"/>
      <c r="D2" s="192"/>
      <c r="E2" s="193"/>
      <c r="F2" s="130"/>
    </row>
    <row r="3" spans="1:6" ht="19.5" customHeight="1">
      <c r="A3" s="129"/>
      <c r="B3" s="219" t="s">
        <v>465</v>
      </c>
      <c r="C3" s="192"/>
      <c r="D3" s="192"/>
      <c r="E3" s="193"/>
      <c r="F3" s="130"/>
    </row>
    <row r="4" spans="1:6" ht="7.5" customHeight="1">
      <c r="A4" s="131"/>
      <c r="B4" s="132"/>
      <c r="C4" s="132"/>
      <c r="D4" s="132"/>
      <c r="E4" s="132"/>
      <c r="F4" s="133"/>
    </row>
    <row r="5" spans="1:6" ht="21.75" customHeight="1">
      <c r="A5" s="134"/>
      <c r="B5" s="214" t="s">
        <v>466</v>
      </c>
      <c r="C5" s="176"/>
      <c r="D5" s="176"/>
      <c r="E5" s="173"/>
      <c r="F5" s="135"/>
    </row>
    <row r="6" spans="1:6" ht="19.5" customHeight="1">
      <c r="A6" s="134"/>
      <c r="B6" s="136" t="s">
        <v>424</v>
      </c>
      <c r="C6" s="137" t="s">
        <v>35</v>
      </c>
      <c r="D6" s="138" t="s">
        <v>36</v>
      </c>
      <c r="E6" s="139" t="s">
        <v>37</v>
      </c>
      <c r="F6" s="135"/>
    </row>
    <row r="7" spans="1:6" ht="19.5" customHeight="1">
      <c r="A7" s="134"/>
      <c r="B7" s="140" t="s">
        <v>418</v>
      </c>
      <c r="C7" s="141">
        <v>1.5535051753939499</v>
      </c>
      <c r="D7" s="142">
        <v>10.1906054575647</v>
      </c>
      <c r="E7" s="143">
        <v>32.633870824833899</v>
      </c>
      <c r="F7" s="135"/>
    </row>
    <row r="8" spans="1:6" ht="19.5" customHeight="1">
      <c r="A8" s="134"/>
      <c r="B8" s="140" t="s">
        <v>467</v>
      </c>
      <c r="C8" s="144">
        <v>-0.98986161211646595</v>
      </c>
      <c r="D8" s="145">
        <v>-0.93500000000000005</v>
      </c>
      <c r="E8" s="146">
        <v>-0.78702688230219997</v>
      </c>
      <c r="F8" s="135"/>
    </row>
    <row r="9" spans="1:6" ht="19.5" customHeight="1">
      <c r="A9" s="134"/>
      <c r="B9" s="140" t="s">
        <v>398</v>
      </c>
      <c r="C9" s="147">
        <v>-40806.521677066303</v>
      </c>
      <c r="D9" s="148">
        <v>72131.337902570202</v>
      </c>
      <c r="E9" s="149">
        <v>365597.231518446</v>
      </c>
      <c r="F9" s="135"/>
    </row>
    <row r="10" spans="1:6" ht="18" customHeight="1">
      <c r="A10" s="134"/>
      <c r="B10" s="140" t="s">
        <v>430</v>
      </c>
      <c r="C10" s="144">
        <v>2.7597986699150302E-2</v>
      </c>
      <c r="D10" s="145">
        <v>1.36071254145098</v>
      </c>
      <c r="E10" s="150">
        <v>0.943873286414457</v>
      </c>
      <c r="F10" s="135"/>
    </row>
    <row r="11" spans="1:6" ht="18" customHeight="1">
      <c r="A11" s="134"/>
      <c r="B11" s="214" t="s">
        <v>468</v>
      </c>
      <c r="C11" s="176"/>
      <c r="D11" s="176"/>
      <c r="E11" s="173"/>
      <c r="F11" s="135"/>
    </row>
    <row r="12" spans="1:6" ht="18" customHeight="1">
      <c r="A12" s="134"/>
      <c r="B12" s="136" t="s">
        <v>424</v>
      </c>
      <c r="C12" s="137" t="s">
        <v>35</v>
      </c>
      <c r="D12" s="138" t="s">
        <v>36</v>
      </c>
      <c r="E12" s="139" t="s">
        <v>37</v>
      </c>
      <c r="F12" s="135"/>
    </row>
    <row r="13" spans="1:6" ht="18" customHeight="1">
      <c r="A13" s="134"/>
      <c r="B13" s="140" t="s">
        <v>418</v>
      </c>
      <c r="C13" s="141">
        <v>9.5299999999999994</v>
      </c>
      <c r="D13" s="142">
        <v>30.19</v>
      </c>
      <c r="E13" s="143">
        <v>63.15</v>
      </c>
      <c r="F13" s="135"/>
    </row>
    <row r="14" spans="1:6" ht="18" customHeight="1">
      <c r="A14" s="134"/>
      <c r="B14" s="140" t="s">
        <v>467</v>
      </c>
      <c r="C14" s="151">
        <v>-0.93899999999999995</v>
      </c>
      <c r="D14" s="145">
        <v>-0.80800000000000005</v>
      </c>
      <c r="E14" s="150">
        <v>-0.59899999999999998</v>
      </c>
      <c r="F14" s="135"/>
    </row>
    <row r="15" spans="1:6" ht="18" customHeight="1">
      <c r="A15" s="134"/>
      <c r="B15" s="140" t="s">
        <v>398</v>
      </c>
      <c r="C15" s="147">
        <v>63530.8</v>
      </c>
      <c r="D15" s="148">
        <v>333526</v>
      </c>
      <c r="E15" s="149">
        <v>764573.3</v>
      </c>
      <c r="F15" s="135"/>
    </row>
    <row r="16" spans="1:6" ht="18" customHeight="1">
      <c r="A16" s="134"/>
      <c r="B16" s="140" t="s">
        <v>430</v>
      </c>
      <c r="C16" s="144">
        <v>1.625</v>
      </c>
      <c r="D16" s="145">
        <v>1.0780000000000001</v>
      </c>
      <c r="E16" s="150">
        <v>0.97299999999999998</v>
      </c>
      <c r="F16" s="135"/>
    </row>
    <row r="17" spans="1:6" ht="21.75" customHeight="1">
      <c r="A17" s="134"/>
      <c r="B17" s="214" t="s">
        <v>469</v>
      </c>
      <c r="C17" s="176"/>
      <c r="D17" s="176"/>
      <c r="E17" s="173"/>
      <c r="F17" s="135"/>
    </row>
    <row r="18" spans="1:6" ht="19.5" customHeight="1">
      <c r="A18" s="134"/>
      <c r="B18" s="136" t="s">
        <v>34</v>
      </c>
      <c r="C18" s="137" t="s">
        <v>35</v>
      </c>
      <c r="D18" s="138" t="s">
        <v>36</v>
      </c>
      <c r="E18" s="139" t="s">
        <v>37</v>
      </c>
      <c r="F18" s="135"/>
    </row>
    <row r="19" spans="1:6" ht="19.5" customHeight="1">
      <c r="A19" s="134"/>
      <c r="B19" s="140" t="s">
        <v>123</v>
      </c>
      <c r="C19" s="152" t="s">
        <v>470</v>
      </c>
      <c r="D19" s="153" t="s">
        <v>471</v>
      </c>
      <c r="E19" s="154" t="s">
        <v>472</v>
      </c>
      <c r="F19" s="135"/>
    </row>
    <row r="20" spans="1:6" ht="19.5" customHeight="1">
      <c r="A20" s="134"/>
      <c r="B20" s="140" t="s">
        <v>473</v>
      </c>
      <c r="C20" s="152" t="s">
        <v>474</v>
      </c>
      <c r="D20" s="153" t="s">
        <v>475</v>
      </c>
      <c r="E20" s="154" t="s">
        <v>476</v>
      </c>
      <c r="F20" s="135"/>
    </row>
    <row r="21" spans="1:6" ht="19.5" customHeight="1">
      <c r="A21" s="134"/>
      <c r="B21" s="140" t="s">
        <v>477</v>
      </c>
      <c r="C21" s="152" t="s">
        <v>478</v>
      </c>
      <c r="D21" s="153" t="s">
        <v>479</v>
      </c>
      <c r="E21" s="154" t="s">
        <v>480</v>
      </c>
      <c r="F21" s="135"/>
    </row>
    <row r="22" spans="1:6" ht="19.5" customHeight="1">
      <c r="A22" s="134"/>
      <c r="B22" s="140" t="s">
        <v>481</v>
      </c>
      <c r="C22" s="152" t="s">
        <v>482</v>
      </c>
      <c r="D22" s="153" t="s">
        <v>483</v>
      </c>
      <c r="E22" s="154" t="s">
        <v>484</v>
      </c>
      <c r="F22" s="135"/>
    </row>
    <row r="23" spans="1:6" ht="21.75" customHeight="1">
      <c r="A23" s="134"/>
      <c r="B23" s="214" t="str">
        <f>"REVENUE &amp; EBITDA FORECAST (" &amp; IF(Assumptions!$B$4=1,"BEAR",IF(Assumptions!$B$4=2,"BASE","BULL")) &amp; ", $M)"</f>
        <v>REVENUE &amp; EBITDA FORECAST (BASE, $M)</v>
      </c>
      <c r="C23" s="176"/>
      <c r="D23" s="176"/>
      <c r="E23" s="173"/>
      <c r="F23" s="135"/>
    </row>
    <row r="24" spans="1:6" ht="19.5" customHeight="1">
      <c r="A24" s="134"/>
      <c r="B24" s="155"/>
      <c r="C24" s="156" t="s">
        <v>439</v>
      </c>
      <c r="D24" s="156" t="s">
        <v>441</v>
      </c>
      <c r="E24" s="156" t="s">
        <v>443</v>
      </c>
      <c r="F24" s="135"/>
    </row>
    <row r="25" spans="1:6" ht="19.5" customHeight="1">
      <c r="A25" s="134"/>
      <c r="B25" s="140" t="s">
        <v>485</v>
      </c>
      <c r="C25" s="157">
        <f>'IS Forecast'!F12</f>
        <v>25227.030000000002</v>
      </c>
      <c r="D25" s="157">
        <f>'IS Forecast'!H12</f>
        <v>43013.355026249999</v>
      </c>
      <c r="E25" s="157">
        <f>'IS Forecast'!J12</f>
        <v>62751.900049459786</v>
      </c>
      <c r="F25" s="135"/>
    </row>
    <row r="26" spans="1:6" ht="19.5" customHeight="1">
      <c r="A26" s="134"/>
      <c r="B26" s="140" t="s">
        <v>486</v>
      </c>
      <c r="C26" s="157">
        <f>'IS Forecast'!F26</f>
        <v>9353.4594720000023</v>
      </c>
      <c r="D26" s="157">
        <f>'IS Forecast'!H26</f>
        <v>17745.599808321</v>
      </c>
      <c r="E26" s="157">
        <f>'IS Forecast'!J26</f>
        <v>30474.576538145833</v>
      </c>
      <c r="F26" s="135"/>
    </row>
    <row r="27" spans="1:6" ht="19.5" customHeight="1">
      <c r="A27" s="134"/>
      <c r="B27" s="140" t="s">
        <v>487</v>
      </c>
      <c r="C27" s="158">
        <f>'IS Forecast'!F26/'IS Forecast'!F12</f>
        <v>0.37077133027550219</v>
      </c>
      <c r="D27" s="158">
        <f>'IS Forecast'!H26/'IS Forecast'!H12</f>
        <v>0.41256023385042373</v>
      </c>
      <c r="E27" s="158">
        <f>'IS Forecast'!J26/'IS Forecast'!J12</f>
        <v>0.48563591722523758</v>
      </c>
      <c r="F27" s="135"/>
    </row>
    <row r="28" spans="1:6" ht="17.25" customHeight="1">
      <c r="A28" s="134"/>
      <c r="B28" s="140" t="s">
        <v>488</v>
      </c>
      <c r="C28" s="157">
        <f>DCF!F24</f>
        <v>-11827.747409506846</v>
      </c>
      <c r="D28" s="157">
        <f>DCF!H24</f>
        <v>-9343.1424133801156</v>
      </c>
      <c r="E28" s="157">
        <f>DCF!J24</f>
        <v>8102.7871363770173</v>
      </c>
      <c r="F28" s="135"/>
    </row>
    <row r="29" spans="1:6" ht="21.75" customHeight="1">
      <c r="A29" s="134"/>
      <c r="B29" s="214" t="str">
        <f>"SENSITIVITY ("&amp; IF(Assumptions!$B$4=1,"BEAR",IF(Assumptions!$B$4=2,"BASE","BULL")) &amp; "): IMPLIED PRICE ($)  -  WACC vs Terminal Growth (GMM)"</f>
        <v>SENSITIVITY (BASE): IMPLIED PRICE ($)  -  WACC vs Terminal Growth (GMM)</v>
      </c>
      <c r="C29" s="176"/>
      <c r="D29" s="176"/>
      <c r="E29" s="173"/>
      <c r="F29" s="135"/>
    </row>
    <row r="30" spans="1:6" ht="19.5" customHeight="1">
      <c r="A30" s="134"/>
      <c r="B30" s="159" t="s">
        <v>408</v>
      </c>
      <c r="C30" s="160" t="s">
        <v>474</v>
      </c>
      <c r="D30" s="160" t="s">
        <v>475</v>
      </c>
      <c r="E30" s="160" t="s">
        <v>489</v>
      </c>
      <c r="F30" s="135"/>
    </row>
    <row r="31" spans="1:6" ht="19.5" customHeight="1">
      <c r="A31" s="134"/>
      <c r="B31" s="159" t="s">
        <v>490</v>
      </c>
      <c r="C31" s="161">
        <f>DCF!C63</f>
        <v>11.011444504421414</v>
      </c>
      <c r="D31" s="161">
        <f>DCF!E63</f>
        <v>11.722838748103195</v>
      </c>
      <c r="E31" s="161">
        <f>DCF!G63</f>
        <v>12.556005966908879</v>
      </c>
      <c r="F31" s="135"/>
    </row>
    <row r="32" spans="1:6" ht="19.5" customHeight="1">
      <c r="A32" s="134"/>
      <c r="B32" s="159" t="s">
        <v>491</v>
      </c>
      <c r="C32" s="161">
        <f>DCF!C65</f>
        <v>9.6704172137143978</v>
      </c>
      <c r="D32" s="162">
        <f>DCF!E65</f>
        <v>10.190605457564695</v>
      </c>
      <c r="E32" s="161">
        <f>DCF!G65</f>
        <v>10.786822700934366</v>
      </c>
      <c r="F32" s="135"/>
    </row>
    <row r="33" spans="1:6" ht="19.5" customHeight="1">
      <c r="A33" s="134"/>
      <c r="B33" s="159" t="s">
        <v>492</v>
      </c>
      <c r="C33" s="161">
        <f>DCF!C67</f>
        <v>8.64905707686356</v>
      </c>
      <c r="D33" s="161">
        <f>DCF!E67</f>
        <v>9.0431273996217385</v>
      </c>
      <c r="E33" s="161">
        <f>DCF!G67</f>
        <v>9.4874491579309055</v>
      </c>
      <c r="F33" s="135"/>
    </row>
    <row r="34" spans="1:6" ht="21.75" customHeight="1">
      <c r="A34" s="134"/>
      <c r="B34" s="214" t="str">
        <f>"SEGMENT SNAPSHOT  (FY25A Actuals &amp; FY30E Base Forecast, $M) - "&amp; IF(Assumptions!$B$4=1,"BEAR",IF(Assumptions!$B$4=2,"BASE","BULL"))</f>
        <v>SEGMENT SNAPSHOT  (FY25A Actuals &amp; FY30E Base Forecast, $M) - BASE</v>
      </c>
      <c r="C34" s="176"/>
      <c r="D34" s="176"/>
      <c r="E34" s="173"/>
      <c r="F34" s="135"/>
    </row>
    <row r="35" spans="1:6" ht="19.5" customHeight="1">
      <c r="A35" s="134"/>
      <c r="B35" s="163" t="s">
        <v>493</v>
      </c>
      <c r="C35" s="163" t="s">
        <v>494</v>
      </c>
      <c r="D35" s="163" t="s">
        <v>495</v>
      </c>
      <c r="E35" s="163" t="s">
        <v>496</v>
      </c>
      <c r="F35" s="135"/>
    </row>
    <row r="36" spans="1:6" ht="15.75" customHeight="1">
      <c r="A36" s="134"/>
      <c r="B36" s="140" t="s">
        <v>497</v>
      </c>
      <c r="C36" s="164">
        <f>Input!E16</f>
        <v>4086</v>
      </c>
      <c r="D36" s="164">
        <f>'IS Forecast'!J6</f>
        <v>6577.8248067840013</v>
      </c>
      <c r="E36" s="165">
        <f>'IS Forecast'!J18/'IS Forecast'!J6</f>
        <v>0.23519999999999999</v>
      </c>
      <c r="F36" s="135"/>
    </row>
    <row r="37" spans="1:6" ht="21.75" customHeight="1">
      <c r="A37" s="134"/>
      <c r="B37" s="140" t="s">
        <v>498</v>
      </c>
      <c r="C37" s="164">
        <f>Input!E17</f>
        <v>11387</v>
      </c>
      <c r="D37" s="164">
        <f>'IS Forecast'!J8</f>
        <v>34472.719124999996</v>
      </c>
      <c r="E37" s="165">
        <f>'IS Forecast'!J21/'IS Forecast'!J8</f>
        <v>0.6664000000000001</v>
      </c>
      <c r="F37" s="135"/>
    </row>
    <row r="38" spans="1:6" ht="19.5" customHeight="1">
      <c r="A38" s="134"/>
      <c r="B38" s="140" t="s">
        <v>499</v>
      </c>
      <c r="C38" s="164">
        <f>Input!E18</f>
        <v>3201</v>
      </c>
      <c r="D38" s="164">
        <f>'IS Forecast'!J10</f>
        <v>21701.356117675783</v>
      </c>
      <c r="E38" s="165">
        <f>'IS Forecast'!J24/'IS Forecast'!J10</f>
        <v>0.27440000000000003</v>
      </c>
      <c r="F38" s="135"/>
    </row>
    <row r="39" spans="1:6" ht="19.5" customHeight="1">
      <c r="A39" s="134"/>
      <c r="B39" s="166" t="s">
        <v>500</v>
      </c>
      <c r="C39" s="167">
        <f>Input!E15</f>
        <v>18674</v>
      </c>
      <c r="D39" s="167">
        <f>'IS Forecast'!J12</f>
        <v>62751.900049459786</v>
      </c>
      <c r="E39" s="168">
        <f>'IS Forecast'!J26/'IS Forecast'!J12</f>
        <v>0.48563591722523758</v>
      </c>
      <c r="F39" s="135"/>
    </row>
    <row r="40" spans="1:6" ht="9.75" customHeight="1">
      <c r="A40" s="169"/>
      <c r="B40" s="170"/>
      <c r="C40" s="170"/>
      <c r="D40" s="170"/>
      <c r="E40" s="170"/>
      <c r="F40" s="171"/>
    </row>
    <row r="41" spans="1:6" ht="15.75" customHeight="1">
      <c r="A41" s="2"/>
      <c r="B41" s="2"/>
      <c r="C41" s="2"/>
      <c r="D41" s="2"/>
      <c r="E41" s="2"/>
      <c r="F41" s="2"/>
    </row>
    <row r="42" spans="1:6" ht="15.75" customHeight="1">
      <c r="A42" s="2"/>
      <c r="B42" s="2"/>
      <c r="C42" s="2"/>
      <c r="D42" s="2"/>
      <c r="E42" s="2"/>
      <c r="F42" s="2"/>
    </row>
    <row r="43" spans="1:6" ht="15.75" customHeight="1">
      <c r="A43" s="2"/>
      <c r="B43" s="2"/>
      <c r="C43" s="2"/>
      <c r="D43" s="2"/>
      <c r="E43" s="2"/>
      <c r="F43" s="2"/>
    </row>
    <row r="44" spans="1:6" ht="15.75" customHeight="1">
      <c r="A44" s="2"/>
      <c r="B44" s="2"/>
      <c r="C44" s="2"/>
      <c r="D44" s="2"/>
      <c r="E44" s="2"/>
      <c r="F44" s="2"/>
    </row>
    <row r="45" spans="1:6" ht="15.75" customHeight="1">
      <c r="A45" s="2"/>
      <c r="B45" s="2"/>
      <c r="C45" s="2"/>
      <c r="D45" s="2"/>
      <c r="E45" s="2"/>
      <c r="F45" s="2"/>
    </row>
    <row r="46" spans="1:6" ht="15.75" customHeight="1">
      <c r="A46" s="2"/>
      <c r="B46" s="2"/>
      <c r="C46" s="2"/>
      <c r="D46" s="2"/>
      <c r="E46" s="2"/>
      <c r="F46" s="2"/>
    </row>
    <row r="47" spans="1:6" ht="15.75" customHeight="1">
      <c r="A47" s="2"/>
      <c r="B47" s="2"/>
      <c r="C47" s="2"/>
      <c r="D47" s="2"/>
      <c r="E47" s="2"/>
      <c r="F47" s="2"/>
    </row>
    <row r="48" spans="1:6" ht="15.75" customHeight="1">
      <c r="A48" s="2"/>
      <c r="B48" s="2"/>
      <c r="C48" s="2"/>
      <c r="D48" s="2"/>
      <c r="E48" s="2"/>
      <c r="F48" s="2"/>
    </row>
    <row r="49" spans="1:6" ht="15.75" customHeight="1">
      <c r="A49" s="2"/>
      <c r="B49" s="2"/>
      <c r="C49" s="2"/>
      <c r="D49" s="2"/>
      <c r="E49" s="2"/>
      <c r="F49" s="2"/>
    </row>
    <row r="50" spans="1:6" ht="15.75" customHeight="1">
      <c r="A50" s="2"/>
      <c r="B50" s="2"/>
      <c r="C50" s="2"/>
      <c r="D50" s="2"/>
      <c r="E50" s="2"/>
      <c r="F50" s="2"/>
    </row>
    <row r="51" spans="1:6" ht="15.75" customHeight="1">
      <c r="A51" s="2"/>
      <c r="B51" s="2"/>
      <c r="C51" s="2"/>
      <c r="D51" s="2"/>
      <c r="E51" s="2"/>
      <c r="F51" s="2"/>
    </row>
    <row r="52" spans="1:6" ht="15.75" customHeight="1">
      <c r="A52" s="2"/>
      <c r="B52" s="2"/>
      <c r="C52" s="2"/>
      <c r="D52" s="2"/>
      <c r="E52" s="2"/>
      <c r="F52" s="2"/>
    </row>
    <row r="53" spans="1:6" ht="15.75" customHeight="1">
      <c r="A53" s="2"/>
      <c r="B53" s="2"/>
      <c r="C53" s="2"/>
      <c r="D53" s="2"/>
      <c r="E53" s="2"/>
      <c r="F53" s="2"/>
    </row>
    <row r="54" spans="1:6" ht="15.75" customHeight="1">
      <c r="A54" s="2"/>
      <c r="B54" s="2"/>
      <c r="C54" s="2"/>
      <c r="D54" s="2"/>
      <c r="E54" s="2"/>
      <c r="F54" s="2"/>
    </row>
    <row r="55" spans="1:6" ht="15.75" customHeight="1">
      <c r="A55" s="2"/>
      <c r="B55" s="2"/>
      <c r="C55" s="2"/>
      <c r="D55" s="2"/>
      <c r="E55" s="2"/>
      <c r="F55" s="2"/>
    </row>
    <row r="56" spans="1:6" ht="15.75" customHeight="1">
      <c r="A56" s="2"/>
      <c r="B56" s="2"/>
      <c r="C56" s="2"/>
      <c r="D56" s="2"/>
      <c r="E56" s="2"/>
      <c r="F56" s="2"/>
    </row>
    <row r="57" spans="1:6" ht="15.75" customHeight="1">
      <c r="A57" s="2"/>
      <c r="B57" s="2"/>
      <c r="C57" s="2"/>
      <c r="D57" s="2"/>
      <c r="E57" s="2"/>
      <c r="F57" s="2"/>
    </row>
    <row r="58" spans="1:6" ht="15.75" customHeight="1">
      <c r="A58" s="2"/>
      <c r="B58" s="2"/>
      <c r="C58" s="2"/>
      <c r="D58" s="2"/>
      <c r="E58" s="2"/>
      <c r="F58" s="2"/>
    </row>
    <row r="59" spans="1:6" ht="15.75" customHeight="1">
      <c r="A59" s="2"/>
      <c r="B59" s="2"/>
      <c r="C59" s="2"/>
      <c r="D59" s="2"/>
      <c r="E59" s="2"/>
      <c r="F59" s="2"/>
    </row>
    <row r="60" spans="1:6" ht="15.75" customHeight="1">
      <c r="A60" s="2"/>
      <c r="B60" s="2"/>
      <c r="C60" s="2"/>
      <c r="D60" s="2"/>
      <c r="E60" s="2"/>
      <c r="F60" s="2"/>
    </row>
    <row r="61" spans="1:6" ht="15.75" customHeight="1">
      <c r="A61" s="2"/>
      <c r="B61" s="2"/>
      <c r="C61" s="2"/>
      <c r="D61" s="2"/>
      <c r="E61" s="2"/>
      <c r="F61" s="2"/>
    </row>
    <row r="62" spans="1:6" ht="15.75" customHeight="1">
      <c r="A62" s="2"/>
      <c r="B62" s="2"/>
      <c r="C62" s="2"/>
      <c r="D62" s="2"/>
      <c r="E62" s="2"/>
      <c r="F62" s="2"/>
    </row>
    <row r="63" spans="1:6" ht="15.75" customHeight="1">
      <c r="A63" s="2"/>
      <c r="B63" s="2"/>
      <c r="C63" s="2"/>
      <c r="D63" s="2"/>
      <c r="E63" s="2"/>
      <c r="F63" s="2"/>
    </row>
    <row r="64" spans="1:6" ht="15.75" customHeight="1">
      <c r="A64" s="2"/>
      <c r="B64" s="2"/>
      <c r="C64" s="2"/>
      <c r="D64" s="2"/>
      <c r="E64" s="2"/>
      <c r="F64" s="2"/>
    </row>
    <row r="65" spans="1:6" ht="15.75" customHeight="1">
      <c r="A65" s="2"/>
      <c r="B65" s="2"/>
      <c r="C65" s="2"/>
      <c r="D65" s="2"/>
      <c r="E65" s="2"/>
      <c r="F65" s="2"/>
    </row>
    <row r="66" spans="1:6" ht="15.75" customHeight="1">
      <c r="A66" s="2"/>
      <c r="B66" s="2"/>
      <c r="C66" s="2"/>
      <c r="D66" s="2"/>
      <c r="E66" s="2"/>
      <c r="F66" s="2"/>
    </row>
    <row r="67" spans="1:6" ht="15.75" customHeight="1">
      <c r="A67" s="2"/>
      <c r="B67" s="2"/>
      <c r="C67" s="2"/>
      <c r="D67" s="2"/>
      <c r="E67" s="2"/>
      <c r="F67" s="2"/>
    </row>
    <row r="68" spans="1:6" ht="15.75" customHeight="1">
      <c r="A68" s="2"/>
      <c r="B68" s="2"/>
      <c r="C68" s="2"/>
      <c r="D68" s="2"/>
      <c r="E68" s="2"/>
      <c r="F68" s="2"/>
    </row>
    <row r="69" spans="1:6" ht="15.75" customHeight="1">
      <c r="A69" s="2"/>
      <c r="B69" s="2"/>
      <c r="C69" s="2"/>
      <c r="D69" s="2"/>
      <c r="E69" s="2"/>
      <c r="F69" s="2"/>
    </row>
    <row r="70" spans="1:6" ht="15.75" customHeight="1">
      <c r="A70" s="2"/>
      <c r="B70" s="2"/>
      <c r="C70" s="2"/>
      <c r="D70" s="2"/>
      <c r="E70" s="2"/>
      <c r="F70" s="2"/>
    </row>
    <row r="71" spans="1:6" ht="15.75" customHeight="1">
      <c r="A71" s="2"/>
      <c r="B71" s="2"/>
      <c r="C71" s="2"/>
      <c r="D71" s="2"/>
      <c r="E71" s="2"/>
      <c r="F71" s="2"/>
    </row>
    <row r="72" spans="1:6" ht="15.75" customHeight="1">
      <c r="A72" s="2"/>
      <c r="B72" s="2"/>
      <c r="C72" s="2"/>
      <c r="D72" s="2"/>
      <c r="E72" s="2"/>
      <c r="F72" s="2"/>
    </row>
    <row r="73" spans="1:6" ht="15.75" customHeight="1">
      <c r="A73" s="2"/>
      <c r="B73" s="2"/>
      <c r="C73" s="2"/>
      <c r="D73" s="2"/>
      <c r="E73" s="2"/>
      <c r="F73" s="2"/>
    </row>
    <row r="74" spans="1:6" ht="15.75" customHeight="1">
      <c r="A74" s="2"/>
      <c r="B74" s="2"/>
      <c r="C74" s="2"/>
      <c r="D74" s="2"/>
      <c r="E74" s="2"/>
      <c r="F74" s="2"/>
    </row>
    <row r="75" spans="1:6" ht="15.75" customHeight="1">
      <c r="A75" s="2"/>
      <c r="B75" s="2"/>
      <c r="C75" s="2"/>
      <c r="D75" s="2"/>
      <c r="E75" s="2"/>
      <c r="F75" s="2"/>
    </row>
    <row r="76" spans="1:6" ht="15.75" customHeight="1">
      <c r="A76" s="2"/>
      <c r="B76" s="2"/>
      <c r="C76" s="2"/>
      <c r="D76" s="2"/>
      <c r="E76" s="2"/>
      <c r="F76" s="2"/>
    </row>
    <row r="77" spans="1:6" ht="15.75" customHeight="1">
      <c r="A77" s="2"/>
      <c r="B77" s="2"/>
      <c r="C77" s="2"/>
      <c r="D77" s="2"/>
      <c r="E77" s="2"/>
      <c r="F77" s="2"/>
    </row>
    <row r="78" spans="1:6" ht="15.75" customHeight="1">
      <c r="A78" s="2"/>
      <c r="B78" s="2"/>
      <c r="C78" s="2"/>
      <c r="D78" s="2"/>
      <c r="E78" s="2"/>
      <c r="F78" s="2"/>
    </row>
    <row r="79" spans="1:6" ht="15.75" customHeight="1">
      <c r="A79" s="2"/>
      <c r="B79" s="2"/>
      <c r="C79" s="2"/>
      <c r="D79" s="2"/>
      <c r="E79" s="2"/>
      <c r="F79" s="2"/>
    </row>
    <row r="80" spans="1:6" ht="15.75" customHeight="1">
      <c r="A80" s="2"/>
      <c r="B80" s="2"/>
      <c r="C80" s="2"/>
      <c r="D80" s="2"/>
      <c r="E80" s="2"/>
      <c r="F80" s="2"/>
    </row>
    <row r="81" spans="1:6" ht="15.75" customHeight="1">
      <c r="A81" s="2"/>
      <c r="B81" s="2"/>
      <c r="C81" s="2"/>
      <c r="D81" s="2"/>
      <c r="E81" s="2"/>
      <c r="F81" s="2"/>
    </row>
    <row r="82" spans="1:6" ht="15.75" customHeight="1">
      <c r="A82" s="2"/>
      <c r="B82" s="2"/>
      <c r="C82" s="2"/>
      <c r="D82" s="2"/>
      <c r="E82" s="2"/>
      <c r="F82" s="2"/>
    </row>
    <row r="83" spans="1:6" ht="15.75" customHeight="1">
      <c r="A83" s="2"/>
      <c r="B83" s="2"/>
      <c r="C83" s="2"/>
      <c r="D83" s="2"/>
      <c r="E83" s="2"/>
      <c r="F83" s="2"/>
    </row>
    <row r="84" spans="1:6" ht="15.75" customHeight="1">
      <c r="A84" s="2"/>
      <c r="B84" s="2"/>
      <c r="C84" s="2"/>
      <c r="D84" s="2"/>
      <c r="E84" s="2"/>
      <c r="F84" s="2"/>
    </row>
    <row r="85" spans="1:6" ht="15.75" customHeight="1">
      <c r="A85" s="2"/>
      <c r="B85" s="2"/>
      <c r="C85" s="2"/>
      <c r="D85" s="2"/>
      <c r="E85" s="2"/>
      <c r="F85" s="2"/>
    </row>
    <row r="86" spans="1:6" ht="15.75" customHeight="1">
      <c r="A86" s="2"/>
      <c r="B86" s="2"/>
      <c r="C86" s="2"/>
      <c r="D86" s="2"/>
      <c r="E86" s="2"/>
      <c r="F86" s="2"/>
    </row>
    <row r="87" spans="1:6" ht="15.75" customHeight="1">
      <c r="A87" s="2"/>
      <c r="B87" s="2"/>
      <c r="C87" s="2"/>
      <c r="D87" s="2"/>
      <c r="E87" s="2"/>
      <c r="F87" s="2"/>
    </row>
    <row r="88" spans="1:6" ht="15.75" customHeight="1">
      <c r="A88" s="2"/>
      <c r="B88" s="2"/>
      <c r="C88" s="2"/>
      <c r="D88" s="2"/>
      <c r="E88" s="2"/>
      <c r="F88" s="2"/>
    </row>
    <row r="89" spans="1:6" ht="15.75" customHeight="1">
      <c r="A89" s="2"/>
      <c r="B89" s="2"/>
      <c r="C89" s="2"/>
      <c r="D89" s="2"/>
      <c r="E89" s="2"/>
      <c r="F89" s="2"/>
    </row>
    <row r="90" spans="1:6" ht="15.75" customHeight="1">
      <c r="A90" s="2"/>
      <c r="B90" s="2"/>
      <c r="C90" s="2"/>
      <c r="D90" s="2"/>
      <c r="E90" s="2"/>
      <c r="F90" s="2"/>
    </row>
    <row r="91" spans="1:6" ht="15.75" customHeight="1">
      <c r="A91" s="2"/>
      <c r="B91" s="2"/>
      <c r="C91" s="2"/>
      <c r="D91" s="2"/>
      <c r="E91" s="2"/>
      <c r="F91" s="2"/>
    </row>
    <row r="92" spans="1:6" ht="15.75" customHeight="1">
      <c r="A92" s="2"/>
      <c r="B92" s="2"/>
      <c r="C92" s="2"/>
      <c r="D92" s="2"/>
      <c r="E92" s="2"/>
      <c r="F92" s="2"/>
    </row>
    <row r="93" spans="1:6" ht="15.75" customHeight="1">
      <c r="A93" s="2"/>
      <c r="B93" s="2"/>
      <c r="C93" s="2"/>
      <c r="D93" s="2"/>
      <c r="E93" s="2"/>
      <c r="F93" s="2"/>
    </row>
    <row r="94" spans="1:6" ht="15.75" customHeight="1">
      <c r="A94" s="2"/>
      <c r="B94" s="2"/>
      <c r="C94" s="2"/>
      <c r="D94" s="2"/>
      <c r="E94" s="2"/>
      <c r="F94" s="2"/>
    </row>
    <row r="95" spans="1:6" ht="15.75" customHeight="1">
      <c r="A95" s="2"/>
      <c r="B95" s="2"/>
      <c r="C95" s="2"/>
      <c r="D95" s="2"/>
      <c r="E95" s="2"/>
      <c r="F95" s="2"/>
    </row>
    <row r="96" spans="1:6" ht="15.75" customHeight="1">
      <c r="A96" s="2"/>
      <c r="B96" s="2"/>
      <c r="C96" s="2"/>
      <c r="D96" s="2"/>
      <c r="E96" s="2"/>
      <c r="F96" s="2"/>
    </row>
    <row r="97" spans="1:6" ht="15.75" customHeight="1">
      <c r="A97" s="2"/>
      <c r="B97" s="2"/>
      <c r="C97" s="2"/>
      <c r="D97" s="2"/>
      <c r="E97" s="2"/>
      <c r="F97" s="2"/>
    </row>
    <row r="98" spans="1:6" ht="15.75" customHeight="1">
      <c r="A98" s="2"/>
      <c r="B98" s="2"/>
      <c r="C98" s="2"/>
      <c r="D98" s="2"/>
      <c r="E98" s="2"/>
      <c r="F98" s="2"/>
    </row>
    <row r="99" spans="1:6" ht="15.75" customHeight="1">
      <c r="A99" s="2"/>
      <c r="B99" s="2"/>
      <c r="C99" s="2"/>
      <c r="D99" s="2"/>
      <c r="E99" s="2"/>
      <c r="F99" s="2"/>
    </row>
    <row r="100" spans="1:6" ht="15.75" customHeight="1">
      <c r="A100" s="2"/>
      <c r="B100" s="2"/>
      <c r="C100" s="2"/>
      <c r="D100" s="2"/>
      <c r="E100" s="2"/>
      <c r="F100" s="2"/>
    </row>
    <row r="101" spans="1:6" ht="15.75" customHeight="1">
      <c r="A101" s="2"/>
      <c r="B101" s="2"/>
      <c r="C101" s="2"/>
      <c r="D101" s="2"/>
      <c r="E101" s="2"/>
      <c r="F101" s="2"/>
    </row>
    <row r="102" spans="1:6" ht="15.75" customHeight="1">
      <c r="A102" s="2"/>
      <c r="B102" s="2"/>
      <c r="C102" s="2"/>
      <c r="D102" s="2"/>
      <c r="E102" s="2"/>
      <c r="F102" s="2"/>
    </row>
    <row r="103" spans="1:6" ht="15.75" customHeight="1">
      <c r="A103" s="2"/>
      <c r="B103" s="2"/>
      <c r="C103" s="2"/>
      <c r="D103" s="2"/>
      <c r="E103" s="2"/>
      <c r="F103" s="2"/>
    </row>
    <row r="104" spans="1:6" ht="15.75" customHeight="1">
      <c r="A104" s="2"/>
      <c r="B104" s="2"/>
      <c r="C104" s="2"/>
      <c r="D104" s="2"/>
      <c r="E104" s="2"/>
      <c r="F104" s="2"/>
    </row>
    <row r="105" spans="1:6" ht="15.75" customHeight="1">
      <c r="A105" s="2"/>
      <c r="B105" s="2"/>
      <c r="C105" s="2"/>
      <c r="D105" s="2"/>
      <c r="E105" s="2"/>
      <c r="F105" s="2"/>
    </row>
    <row r="106" spans="1:6" ht="15.75" customHeight="1">
      <c r="A106" s="2"/>
      <c r="B106" s="2"/>
      <c r="C106" s="2"/>
      <c r="D106" s="2"/>
      <c r="E106" s="2"/>
      <c r="F106" s="2"/>
    </row>
    <row r="107" spans="1:6" ht="15.75" customHeight="1">
      <c r="A107" s="2"/>
      <c r="B107" s="2"/>
      <c r="C107" s="2"/>
      <c r="D107" s="2"/>
      <c r="E107" s="2"/>
      <c r="F107" s="2"/>
    </row>
    <row r="108" spans="1:6" ht="15.75" customHeight="1">
      <c r="A108" s="2"/>
      <c r="B108" s="2"/>
      <c r="C108" s="2"/>
      <c r="D108" s="2"/>
      <c r="E108" s="2"/>
      <c r="F108" s="2"/>
    </row>
    <row r="109" spans="1:6" ht="15.75" customHeight="1">
      <c r="A109" s="2"/>
      <c r="B109" s="2"/>
      <c r="C109" s="2"/>
      <c r="D109" s="2"/>
      <c r="E109" s="2"/>
      <c r="F109" s="2"/>
    </row>
    <row r="110" spans="1:6" ht="15.75" customHeight="1">
      <c r="A110" s="2"/>
      <c r="B110" s="2"/>
      <c r="C110" s="2"/>
      <c r="D110" s="2"/>
      <c r="E110" s="2"/>
      <c r="F110" s="2"/>
    </row>
    <row r="111" spans="1:6" ht="15.75" customHeight="1">
      <c r="A111" s="2"/>
      <c r="B111" s="2"/>
      <c r="C111" s="2"/>
      <c r="D111" s="2"/>
      <c r="E111" s="2"/>
      <c r="F111" s="2"/>
    </row>
    <row r="112" spans="1:6" ht="15.75" customHeight="1">
      <c r="A112" s="2"/>
      <c r="B112" s="2"/>
      <c r="C112" s="2"/>
      <c r="D112" s="2"/>
      <c r="E112" s="2"/>
      <c r="F112" s="2"/>
    </row>
    <row r="113" spans="1:6" ht="15.75" customHeight="1">
      <c r="A113" s="2"/>
      <c r="B113" s="2"/>
      <c r="C113" s="2"/>
      <c r="D113" s="2"/>
      <c r="E113" s="2"/>
      <c r="F113" s="2"/>
    </row>
    <row r="114" spans="1:6" ht="15.75" customHeight="1">
      <c r="A114" s="2"/>
      <c r="B114" s="2"/>
      <c r="C114" s="2"/>
      <c r="D114" s="2"/>
      <c r="E114" s="2"/>
      <c r="F114" s="2"/>
    </row>
    <row r="115" spans="1:6" ht="15.75" customHeight="1">
      <c r="A115" s="2"/>
      <c r="B115" s="2"/>
      <c r="C115" s="2"/>
      <c r="D115" s="2"/>
      <c r="E115" s="2"/>
      <c r="F115" s="2"/>
    </row>
    <row r="116" spans="1:6" ht="15.75" customHeight="1">
      <c r="A116" s="2"/>
      <c r="B116" s="2"/>
      <c r="C116" s="2"/>
      <c r="D116" s="2"/>
      <c r="E116" s="2"/>
      <c r="F116" s="2"/>
    </row>
    <row r="117" spans="1:6" ht="15.75" customHeight="1">
      <c r="A117" s="2"/>
      <c r="B117" s="2"/>
      <c r="C117" s="2"/>
      <c r="D117" s="2"/>
      <c r="E117" s="2"/>
      <c r="F117" s="2"/>
    </row>
    <row r="118" spans="1:6" ht="15.75" customHeight="1">
      <c r="A118" s="2"/>
      <c r="B118" s="2"/>
      <c r="C118" s="2"/>
      <c r="D118" s="2"/>
      <c r="E118" s="2"/>
      <c r="F118" s="2"/>
    </row>
    <row r="119" spans="1:6" ht="15.75" customHeight="1">
      <c r="A119" s="2"/>
      <c r="B119" s="2"/>
      <c r="C119" s="2"/>
      <c r="D119" s="2"/>
      <c r="E119" s="2"/>
      <c r="F119" s="2"/>
    </row>
    <row r="120" spans="1:6" ht="15.75" customHeight="1">
      <c r="A120" s="2"/>
      <c r="B120" s="2"/>
      <c r="C120" s="2"/>
      <c r="D120" s="2"/>
      <c r="E120" s="2"/>
      <c r="F120" s="2"/>
    </row>
    <row r="121" spans="1:6" ht="15.75" customHeight="1">
      <c r="A121" s="2"/>
      <c r="B121" s="2"/>
      <c r="C121" s="2"/>
      <c r="D121" s="2"/>
      <c r="E121" s="2"/>
      <c r="F121" s="2"/>
    </row>
    <row r="122" spans="1:6" ht="15.75" customHeight="1">
      <c r="A122" s="2"/>
      <c r="B122" s="2"/>
      <c r="C122" s="2"/>
      <c r="D122" s="2"/>
      <c r="E122" s="2"/>
      <c r="F122" s="2"/>
    </row>
    <row r="123" spans="1:6" ht="15.75" customHeight="1">
      <c r="A123" s="2"/>
      <c r="B123" s="2"/>
      <c r="C123" s="2"/>
      <c r="D123" s="2"/>
      <c r="E123" s="2"/>
      <c r="F123" s="2"/>
    </row>
    <row r="124" spans="1:6" ht="15.75" customHeight="1">
      <c r="A124" s="2"/>
      <c r="B124" s="2"/>
      <c r="C124" s="2"/>
      <c r="D124" s="2"/>
      <c r="E124" s="2"/>
      <c r="F124" s="2"/>
    </row>
    <row r="125" spans="1:6" ht="15.75" customHeight="1">
      <c r="A125" s="2"/>
      <c r="B125" s="2"/>
      <c r="C125" s="2"/>
      <c r="D125" s="2"/>
      <c r="E125" s="2"/>
      <c r="F125" s="2"/>
    </row>
    <row r="126" spans="1:6" ht="15.75" customHeight="1">
      <c r="A126" s="2"/>
      <c r="B126" s="2"/>
      <c r="C126" s="2"/>
      <c r="D126" s="2"/>
      <c r="E126" s="2"/>
      <c r="F126" s="2"/>
    </row>
    <row r="127" spans="1:6" ht="15.75" customHeight="1">
      <c r="A127" s="2"/>
      <c r="B127" s="2"/>
      <c r="C127" s="2"/>
      <c r="D127" s="2"/>
      <c r="E127" s="2"/>
      <c r="F127" s="2"/>
    </row>
    <row r="128" spans="1:6" ht="15.75" customHeight="1">
      <c r="A128" s="2"/>
      <c r="B128" s="2"/>
      <c r="C128" s="2"/>
      <c r="D128" s="2"/>
      <c r="E128" s="2"/>
      <c r="F128" s="2"/>
    </row>
    <row r="129" spans="1:6" ht="15.75" customHeight="1">
      <c r="A129" s="2"/>
      <c r="B129" s="2"/>
      <c r="C129" s="2"/>
      <c r="D129" s="2"/>
      <c r="E129" s="2"/>
      <c r="F129" s="2"/>
    </row>
    <row r="130" spans="1:6" ht="15.75" customHeight="1">
      <c r="A130" s="2"/>
      <c r="B130" s="2"/>
      <c r="C130" s="2"/>
      <c r="D130" s="2"/>
      <c r="E130" s="2"/>
      <c r="F130" s="2"/>
    </row>
    <row r="131" spans="1:6" ht="15.75" customHeight="1">
      <c r="A131" s="2"/>
      <c r="B131" s="2"/>
      <c r="C131" s="2"/>
      <c r="D131" s="2"/>
      <c r="E131" s="2"/>
      <c r="F131" s="2"/>
    </row>
    <row r="132" spans="1:6" ht="15.75" customHeight="1">
      <c r="A132" s="2"/>
      <c r="B132" s="2"/>
      <c r="C132" s="2"/>
      <c r="D132" s="2"/>
      <c r="E132" s="2"/>
      <c r="F132" s="2"/>
    </row>
    <row r="133" spans="1:6" ht="15.75" customHeight="1">
      <c r="A133" s="2"/>
      <c r="B133" s="2"/>
      <c r="C133" s="2"/>
      <c r="D133" s="2"/>
      <c r="E133" s="2"/>
      <c r="F133" s="2"/>
    </row>
    <row r="134" spans="1:6" ht="15.75" customHeight="1">
      <c r="A134" s="2"/>
      <c r="B134" s="2"/>
      <c r="C134" s="2"/>
      <c r="D134" s="2"/>
      <c r="E134" s="2"/>
      <c r="F134" s="2"/>
    </row>
    <row r="135" spans="1:6" ht="15.75" customHeight="1">
      <c r="A135" s="2"/>
      <c r="B135" s="2"/>
      <c r="C135" s="2"/>
      <c r="D135" s="2"/>
      <c r="E135" s="2"/>
      <c r="F135" s="2"/>
    </row>
    <row r="136" spans="1:6" ht="15.75" customHeight="1">
      <c r="A136" s="2"/>
      <c r="B136" s="2"/>
      <c r="C136" s="2"/>
      <c r="D136" s="2"/>
      <c r="E136" s="2"/>
      <c r="F136" s="2"/>
    </row>
    <row r="137" spans="1:6" ht="15.75" customHeight="1">
      <c r="A137" s="2"/>
      <c r="B137" s="2"/>
      <c r="C137" s="2"/>
      <c r="D137" s="2"/>
      <c r="E137" s="2"/>
      <c r="F137" s="2"/>
    </row>
    <row r="138" spans="1:6" ht="15.75" customHeight="1">
      <c r="A138" s="2"/>
      <c r="B138" s="2"/>
      <c r="C138" s="2"/>
      <c r="D138" s="2"/>
      <c r="E138" s="2"/>
      <c r="F138" s="2"/>
    </row>
    <row r="139" spans="1:6" ht="15.75" customHeight="1">
      <c r="A139" s="2"/>
      <c r="B139" s="2"/>
      <c r="C139" s="2"/>
      <c r="D139" s="2"/>
      <c r="E139" s="2"/>
      <c r="F139" s="2"/>
    </row>
    <row r="140" spans="1:6" ht="15.75" customHeight="1">
      <c r="A140" s="2"/>
      <c r="B140" s="2"/>
      <c r="C140" s="2"/>
      <c r="D140" s="2"/>
      <c r="E140" s="2"/>
      <c r="F140" s="2"/>
    </row>
    <row r="141" spans="1:6" ht="15.75" customHeight="1">
      <c r="A141" s="2"/>
      <c r="B141" s="2"/>
      <c r="C141" s="2"/>
      <c r="D141" s="2"/>
      <c r="E141" s="2"/>
      <c r="F141" s="2"/>
    </row>
    <row r="142" spans="1:6" ht="15.75" customHeight="1">
      <c r="A142" s="2"/>
      <c r="B142" s="2"/>
      <c r="C142" s="2"/>
      <c r="D142" s="2"/>
      <c r="E142" s="2"/>
      <c r="F142" s="2"/>
    </row>
    <row r="143" spans="1:6" ht="15.75" customHeight="1">
      <c r="A143" s="2"/>
      <c r="B143" s="2"/>
      <c r="C143" s="2"/>
      <c r="D143" s="2"/>
      <c r="E143" s="2"/>
      <c r="F143" s="2"/>
    </row>
    <row r="144" spans="1:6" ht="15.75" customHeight="1">
      <c r="A144" s="2"/>
      <c r="B144" s="2"/>
      <c r="C144" s="2"/>
      <c r="D144" s="2"/>
      <c r="E144" s="2"/>
      <c r="F144" s="2"/>
    </row>
    <row r="145" spans="1:6" ht="15.75" customHeight="1">
      <c r="A145" s="2"/>
      <c r="B145" s="2"/>
      <c r="C145" s="2"/>
      <c r="D145" s="2"/>
      <c r="E145" s="2"/>
      <c r="F145" s="2"/>
    </row>
    <row r="146" spans="1:6" ht="15.75" customHeight="1">
      <c r="A146" s="2"/>
      <c r="B146" s="2"/>
      <c r="C146" s="2"/>
      <c r="D146" s="2"/>
      <c r="E146" s="2"/>
      <c r="F146" s="2"/>
    </row>
    <row r="147" spans="1:6" ht="15.75" customHeight="1">
      <c r="A147" s="2"/>
      <c r="B147" s="2"/>
      <c r="C147" s="2"/>
      <c r="D147" s="2"/>
      <c r="E147" s="2"/>
      <c r="F147" s="2"/>
    </row>
    <row r="148" spans="1:6" ht="15.75" customHeight="1">
      <c r="A148" s="2"/>
      <c r="B148" s="2"/>
      <c r="C148" s="2"/>
      <c r="D148" s="2"/>
      <c r="E148" s="2"/>
      <c r="F148" s="2"/>
    </row>
    <row r="149" spans="1:6" ht="15.75" customHeight="1">
      <c r="A149" s="2"/>
      <c r="B149" s="2"/>
      <c r="C149" s="2"/>
      <c r="D149" s="2"/>
      <c r="E149" s="2"/>
      <c r="F149" s="2"/>
    </row>
    <row r="150" spans="1:6" ht="15.75" customHeight="1">
      <c r="A150" s="2"/>
      <c r="B150" s="2"/>
      <c r="C150" s="2"/>
      <c r="D150" s="2"/>
      <c r="E150" s="2"/>
      <c r="F150" s="2"/>
    </row>
    <row r="151" spans="1:6" ht="15.75" customHeight="1">
      <c r="A151" s="2"/>
      <c r="B151" s="2"/>
      <c r="C151" s="2"/>
      <c r="D151" s="2"/>
      <c r="E151" s="2"/>
      <c r="F151" s="2"/>
    </row>
    <row r="152" spans="1:6" ht="15.75" customHeight="1">
      <c r="A152" s="2"/>
      <c r="B152" s="2"/>
      <c r="C152" s="2"/>
      <c r="D152" s="2"/>
      <c r="E152" s="2"/>
      <c r="F152" s="2"/>
    </row>
    <row r="153" spans="1:6" ht="15.75" customHeight="1">
      <c r="A153" s="2"/>
      <c r="B153" s="2"/>
      <c r="C153" s="2"/>
      <c r="D153" s="2"/>
      <c r="E153" s="2"/>
      <c r="F153" s="2"/>
    </row>
    <row r="154" spans="1:6" ht="15.75" customHeight="1">
      <c r="A154" s="2"/>
      <c r="B154" s="2"/>
      <c r="C154" s="2"/>
      <c r="D154" s="2"/>
      <c r="E154" s="2"/>
      <c r="F154" s="2"/>
    </row>
    <row r="155" spans="1:6" ht="15.75" customHeight="1">
      <c r="A155" s="2"/>
      <c r="B155" s="2"/>
      <c r="C155" s="2"/>
      <c r="D155" s="2"/>
      <c r="E155" s="2"/>
      <c r="F155" s="2"/>
    </row>
    <row r="156" spans="1:6" ht="15.75" customHeight="1">
      <c r="A156" s="2"/>
      <c r="B156" s="2"/>
      <c r="C156" s="2"/>
      <c r="D156" s="2"/>
      <c r="E156" s="2"/>
      <c r="F156" s="2"/>
    </row>
    <row r="157" spans="1:6" ht="15.75" customHeight="1">
      <c r="A157" s="2"/>
      <c r="B157" s="2"/>
      <c r="C157" s="2"/>
      <c r="D157" s="2"/>
      <c r="E157" s="2"/>
      <c r="F157" s="2"/>
    </row>
    <row r="158" spans="1:6" ht="15.75" customHeight="1">
      <c r="A158" s="2"/>
      <c r="B158" s="2"/>
      <c r="C158" s="2"/>
      <c r="D158" s="2"/>
      <c r="E158" s="2"/>
      <c r="F158" s="2"/>
    </row>
    <row r="159" spans="1:6" ht="15.75" customHeight="1">
      <c r="A159" s="2"/>
      <c r="B159" s="2"/>
      <c r="C159" s="2"/>
      <c r="D159" s="2"/>
      <c r="E159" s="2"/>
      <c r="F159" s="2"/>
    </row>
    <row r="160" spans="1:6" ht="15.75" customHeight="1">
      <c r="A160" s="2"/>
      <c r="B160" s="2"/>
      <c r="C160" s="2"/>
      <c r="D160" s="2"/>
      <c r="E160" s="2"/>
      <c r="F160" s="2"/>
    </row>
    <row r="161" spans="1:6" ht="15.75" customHeight="1">
      <c r="A161" s="2"/>
      <c r="B161" s="2"/>
      <c r="C161" s="2"/>
      <c r="D161" s="2"/>
      <c r="E161" s="2"/>
      <c r="F161" s="2"/>
    </row>
    <row r="162" spans="1:6" ht="15.75" customHeight="1">
      <c r="A162" s="2"/>
      <c r="B162" s="2"/>
      <c r="C162" s="2"/>
      <c r="D162" s="2"/>
      <c r="E162" s="2"/>
      <c r="F162" s="2"/>
    </row>
    <row r="163" spans="1:6" ht="15.75" customHeight="1">
      <c r="A163" s="2"/>
      <c r="B163" s="2"/>
      <c r="C163" s="2"/>
      <c r="D163" s="2"/>
      <c r="E163" s="2"/>
      <c r="F163" s="2"/>
    </row>
    <row r="164" spans="1:6" ht="15.75" customHeight="1">
      <c r="A164" s="2"/>
      <c r="B164" s="2"/>
      <c r="C164" s="2"/>
      <c r="D164" s="2"/>
      <c r="E164" s="2"/>
      <c r="F164" s="2"/>
    </row>
    <row r="165" spans="1:6" ht="15.75" customHeight="1">
      <c r="A165" s="2"/>
      <c r="B165" s="2"/>
      <c r="C165" s="2"/>
      <c r="D165" s="2"/>
      <c r="E165" s="2"/>
      <c r="F165" s="2"/>
    </row>
    <row r="166" spans="1:6" ht="15.75" customHeight="1">
      <c r="A166" s="2"/>
      <c r="B166" s="2"/>
      <c r="C166" s="2"/>
      <c r="D166" s="2"/>
      <c r="E166" s="2"/>
      <c r="F166" s="2"/>
    </row>
    <row r="167" spans="1:6" ht="15.75" customHeight="1">
      <c r="A167" s="2"/>
      <c r="B167" s="2"/>
      <c r="C167" s="2"/>
      <c r="D167" s="2"/>
      <c r="E167" s="2"/>
      <c r="F167" s="2"/>
    </row>
    <row r="168" spans="1:6" ht="15.75" customHeight="1">
      <c r="A168" s="2"/>
      <c r="B168" s="2"/>
      <c r="C168" s="2"/>
      <c r="D168" s="2"/>
      <c r="E168" s="2"/>
      <c r="F168" s="2"/>
    </row>
    <row r="169" spans="1:6" ht="15.75" customHeight="1">
      <c r="A169" s="2"/>
      <c r="B169" s="2"/>
      <c r="C169" s="2"/>
      <c r="D169" s="2"/>
      <c r="E169" s="2"/>
      <c r="F169" s="2"/>
    </row>
    <row r="170" spans="1:6" ht="15.75" customHeight="1">
      <c r="A170" s="2"/>
      <c r="B170" s="2"/>
      <c r="C170" s="2"/>
      <c r="D170" s="2"/>
      <c r="E170" s="2"/>
      <c r="F170" s="2"/>
    </row>
    <row r="171" spans="1:6" ht="15.75" customHeight="1">
      <c r="A171" s="2"/>
      <c r="B171" s="2"/>
      <c r="C171" s="2"/>
      <c r="D171" s="2"/>
      <c r="E171" s="2"/>
      <c r="F171" s="2"/>
    </row>
    <row r="172" spans="1:6" ht="15.75" customHeight="1">
      <c r="A172" s="2"/>
      <c r="B172" s="2"/>
      <c r="C172" s="2"/>
      <c r="D172" s="2"/>
      <c r="E172" s="2"/>
      <c r="F172" s="2"/>
    </row>
    <row r="173" spans="1:6" ht="15.75" customHeight="1">
      <c r="A173" s="2"/>
      <c r="B173" s="2"/>
      <c r="C173" s="2"/>
      <c r="D173" s="2"/>
      <c r="E173" s="2"/>
      <c r="F173" s="2"/>
    </row>
    <row r="174" spans="1:6" ht="15.75" customHeight="1">
      <c r="A174" s="2"/>
      <c r="B174" s="2"/>
      <c r="C174" s="2"/>
      <c r="D174" s="2"/>
      <c r="E174" s="2"/>
      <c r="F174" s="2"/>
    </row>
    <row r="175" spans="1:6" ht="15.75" customHeight="1">
      <c r="A175" s="2"/>
      <c r="B175" s="2"/>
      <c r="C175" s="2"/>
      <c r="D175" s="2"/>
      <c r="E175" s="2"/>
      <c r="F175" s="2"/>
    </row>
    <row r="176" spans="1:6" ht="15.75" customHeight="1">
      <c r="A176" s="2"/>
      <c r="B176" s="2"/>
      <c r="C176" s="2"/>
      <c r="D176" s="2"/>
      <c r="E176" s="2"/>
      <c r="F176" s="2"/>
    </row>
    <row r="177" spans="1:6" ht="15.75" customHeight="1">
      <c r="A177" s="2"/>
      <c r="B177" s="2"/>
      <c r="C177" s="2"/>
      <c r="D177" s="2"/>
      <c r="E177" s="2"/>
      <c r="F177" s="2"/>
    </row>
    <row r="178" spans="1:6" ht="15.75" customHeight="1">
      <c r="A178" s="2"/>
      <c r="B178" s="2"/>
      <c r="C178" s="2"/>
      <c r="D178" s="2"/>
      <c r="E178" s="2"/>
      <c r="F178" s="2"/>
    </row>
    <row r="179" spans="1:6" ht="15.75" customHeight="1">
      <c r="A179" s="2"/>
      <c r="B179" s="2"/>
      <c r="C179" s="2"/>
      <c r="D179" s="2"/>
      <c r="E179" s="2"/>
      <c r="F179" s="2"/>
    </row>
    <row r="180" spans="1:6" ht="15.75" customHeight="1">
      <c r="A180" s="2"/>
      <c r="B180" s="2"/>
      <c r="C180" s="2"/>
      <c r="D180" s="2"/>
      <c r="E180" s="2"/>
      <c r="F180" s="2"/>
    </row>
    <row r="181" spans="1:6" ht="15.75" customHeight="1">
      <c r="A181" s="2"/>
      <c r="B181" s="2"/>
      <c r="C181" s="2"/>
      <c r="D181" s="2"/>
      <c r="E181" s="2"/>
      <c r="F181" s="2"/>
    </row>
    <row r="182" spans="1:6" ht="15.75" customHeight="1">
      <c r="A182" s="2"/>
      <c r="B182" s="2"/>
      <c r="C182" s="2"/>
      <c r="D182" s="2"/>
      <c r="E182" s="2"/>
      <c r="F182" s="2"/>
    </row>
    <row r="183" spans="1:6" ht="15.75" customHeight="1">
      <c r="A183" s="2"/>
      <c r="B183" s="2"/>
      <c r="C183" s="2"/>
      <c r="D183" s="2"/>
      <c r="E183" s="2"/>
      <c r="F183" s="2"/>
    </row>
    <row r="184" spans="1:6" ht="15.75" customHeight="1">
      <c r="A184" s="2"/>
      <c r="B184" s="2"/>
      <c r="C184" s="2"/>
      <c r="D184" s="2"/>
      <c r="E184" s="2"/>
      <c r="F184" s="2"/>
    </row>
    <row r="185" spans="1:6" ht="15.75" customHeight="1">
      <c r="A185" s="2"/>
      <c r="B185" s="2"/>
      <c r="C185" s="2"/>
      <c r="D185" s="2"/>
      <c r="E185" s="2"/>
      <c r="F185" s="2"/>
    </row>
    <row r="186" spans="1:6" ht="15.75" customHeight="1">
      <c r="A186" s="2"/>
      <c r="B186" s="2"/>
      <c r="C186" s="2"/>
      <c r="D186" s="2"/>
      <c r="E186" s="2"/>
      <c r="F186" s="2"/>
    </row>
    <row r="187" spans="1:6" ht="15.75" customHeight="1">
      <c r="A187" s="2"/>
      <c r="B187" s="2"/>
      <c r="C187" s="2"/>
      <c r="D187" s="2"/>
      <c r="E187" s="2"/>
      <c r="F187" s="2"/>
    </row>
    <row r="188" spans="1:6" ht="15.75" customHeight="1">
      <c r="A188" s="2"/>
      <c r="B188" s="2"/>
      <c r="C188" s="2"/>
      <c r="D188" s="2"/>
      <c r="E188" s="2"/>
      <c r="F188" s="2"/>
    </row>
    <row r="189" spans="1:6" ht="15.75" customHeight="1">
      <c r="A189" s="2"/>
      <c r="B189" s="2"/>
      <c r="C189" s="2"/>
      <c r="D189" s="2"/>
      <c r="E189" s="2"/>
      <c r="F189" s="2"/>
    </row>
    <row r="190" spans="1:6" ht="15.75" customHeight="1">
      <c r="A190" s="2"/>
      <c r="B190" s="2"/>
      <c r="C190" s="2"/>
      <c r="D190" s="2"/>
      <c r="E190" s="2"/>
      <c r="F190" s="2"/>
    </row>
    <row r="191" spans="1:6" ht="15.75" customHeight="1">
      <c r="A191" s="2"/>
      <c r="B191" s="2"/>
      <c r="C191" s="2"/>
      <c r="D191" s="2"/>
      <c r="E191" s="2"/>
      <c r="F191" s="2"/>
    </row>
    <row r="192" spans="1:6" ht="15.75" customHeight="1">
      <c r="A192" s="2"/>
      <c r="B192" s="2"/>
      <c r="C192" s="2"/>
      <c r="D192" s="2"/>
      <c r="E192" s="2"/>
      <c r="F192" s="2"/>
    </row>
    <row r="193" spans="1:6" ht="15.75" customHeight="1">
      <c r="A193" s="2"/>
      <c r="B193" s="2"/>
      <c r="C193" s="2"/>
      <c r="D193" s="2"/>
      <c r="E193" s="2"/>
      <c r="F193" s="2"/>
    </row>
    <row r="194" spans="1:6" ht="15.75" customHeight="1">
      <c r="A194" s="2"/>
      <c r="B194" s="2"/>
      <c r="C194" s="2"/>
      <c r="D194" s="2"/>
      <c r="E194" s="2"/>
      <c r="F194" s="2"/>
    </row>
    <row r="195" spans="1:6" ht="15.75" customHeight="1">
      <c r="A195" s="2"/>
      <c r="B195" s="2"/>
      <c r="C195" s="2"/>
      <c r="D195" s="2"/>
      <c r="E195" s="2"/>
      <c r="F195" s="2"/>
    </row>
    <row r="196" spans="1:6" ht="15.75" customHeight="1">
      <c r="A196" s="2"/>
      <c r="B196" s="2"/>
      <c r="C196" s="2"/>
      <c r="D196" s="2"/>
      <c r="E196" s="2"/>
      <c r="F196" s="2"/>
    </row>
    <row r="197" spans="1:6" ht="15.75" customHeight="1">
      <c r="A197" s="2"/>
      <c r="B197" s="2"/>
      <c r="C197" s="2"/>
      <c r="D197" s="2"/>
      <c r="E197" s="2"/>
      <c r="F197" s="2"/>
    </row>
    <row r="198" spans="1:6" ht="15.75" customHeight="1">
      <c r="A198" s="2"/>
      <c r="B198" s="2"/>
      <c r="C198" s="2"/>
      <c r="D198" s="2"/>
      <c r="E198" s="2"/>
      <c r="F198" s="2"/>
    </row>
    <row r="199" spans="1:6" ht="15.75" customHeight="1">
      <c r="A199" s="2"/>
      <c r="B199" s="2"/>
      <c r="C199" s="2"/>
      <c r="D199" s="2"/>
      <c r="E199" s="2"/>
      <c r="F199" s="2"/>
    </row>
    <row r="200" spans="1:6" ht="15.75" customHeight="1">
      <c r="A200" s="2"/>
      <c r="B200" s="2"/>
      <c r="C200" s="2"/>
      <c r="D200" s="2"/>
      <c r="E200" s="2"/>
      <c r="F200" s="2"/>
    </row>
    <row r="201" spans="1:6" ht="15.75" customHeight="1">
      <c r="A201" s="2"/>
      <c r="B201" s="2"/>
      <c r="C201" s="2"/>
      <c r="D201" s="2"/>
      <c r="E201" s="2"/>
      <c r="F201" s="2"/>
    </row>
    <row r="202" spans="1:6" ht="15.75" customHeight="1">
      <c r="A202" s="2"/>
      <c r="B202" s="2"/>
      <c r="C202" s="2"/>
      <c r="D202" s="2"/>
      <c r="E202" s="2"/>
      <c r="F202" s="2"/>
    </row>
    <row r="203" spans="1:6" ht="15.75" customHeight="1">
      <c r="A203" s="2"/>
      <c r="B203" s="2"/>
      <c r="C203" s="2"/>
      <c r="D203" s="2"/>
      <c r="E203" s="2"/>
      <c r="F203" s="2"/>
    </row>
    <row r="204" spans="1:6" ht="15.75" customHeight="1">
      <c r="A204" s="2"/>
      <c r="B204" s="2"/>
      <c r="C204" s="2"/>
      <c r="D204" s="2"/>
      <c r="E204" s="2"/>
      <c r="F204" s="2"/>
    </row>
    <row r="205" spans="1:6" ht="15.75" customHeight="1">
      <c r="A205" s="2"/>
      <c r="B205" s="2"/>
      <c r="C205" s="2"/>
      <c r="D205" s="2"/>
      <c r="E205" s="2"/>
      <c r="F205" s="2"/>
    </row>
    <row r="206" spans="1:6" ht="15.75" customHeight="1">
      <c r="A206" s="2"/>
      <c r="B206" s="2"/>
      <c r="C206" s="2"/>
      <c r="D206" s="2"/>
      <c r="E206" s="2"/>
      <c r="F206" s="2"/>
    </row>
    <row r="207" spans="1:6" ht="15.75" customHeight="1">
      <c r="A207" s="2"/>
      <c r="B207" s="2"/>
      <c r="C207" s="2"/>
      <c r="D207" s="2"/>
      <c r="E207" s="2"/>
      <c r="F207" s="2"/>
    </row>
    <row r="208" spans="1:6" ht="15.75" customHeight="1">
      <c r="A208" s="2"/>
      <c r="B208" s="2"/>
      <c r="C208" s="2"/>
      <c r="D208" s="2"/>
      <c r="E208" s="2"/>
      <c r="F208" s="2"/>
    </row>
    <row r="209" spans="1:6" ht="15.75" customHeight="1">
      <c r="A209" s="2"/>
      <c r="B209" s="2"/>
      <c r="C209" s="2"/>
      <c r="D209" s="2"/>
      <c r="E209" s="2"/>
      <c r="F209" s="2"/>
    </row>
    <row r="210" spans="1:6" ht="15.75" customHeight="1">
      <c r="A210" s="2"/>
      <c r="B210" s="2"/>
      <c r="C210" s="2"/>
      <c r="D210" s="2"/>
      <c r="E210" s="2"/>
      <c r="F210" s="2"/>
    </row>
    <row r="211" spans="1:6" ht="15.75" customHeight="1">
      <c r="A211" s="2"/>
      <c r="B211" s="2"/>
      <c r="C211" s="2"/>
      <c r="D211" s="2"/>
      <c r="E211" s="2"/>
      <c r="F211" s="2"/>
    </row>
    <row r="212" spans="1:6" ht="15.75" customHeight="1">
      <c r="A212" s="2"/>
      <c r="B212" s="2"/>
      <c r="C212" s="2"/>
      <c r="D212" s="2"/>
      <c r="E212" s="2"/>
      <c r="F212" s="2"/>
    </row>
    <row r="213" spans="1:6" ht="15.75" customHeight="1">
      <c r="A213" s="2"/>
      <c r="B213" s="2"/>
      <c r="C213" s="2"/>
      <c r="D213" s="2"/>
      <c r="E213" s="2"/>
      <c r="F213" s="2"/>
    </row>
    <row r="214" spans="1:6" ht="15.75" customHeight="1">
      <c r="A214" s="2"/>
      <c r="B214" s="2"/>
      <c r="C214" s="2"/>
      <c r="D214" s="2"/>
      <c r="E214" s="2"/>
      <c r="F214" s="2"/>
    </row>
    <row r="215" spans="1:6" ht="15.75" customHeight="1">
      <c r="A215" s="2"/>
      <c r="B215" s="2"/>
      <c r="C215" s="2"/>
      <c r="D215" s="2"/>
      <c r="E215" s="2"/>
      <c r="F215" s="2"/>
    </row>
    <row r="216" spans="1:6" ht="15.75" customHeight="1">
      <c r="A216" s="2"/>
      <c r="B216" s="2"/>
      <c r="C216" s="2"/>
      <c r="D216" s="2"/>
      <c r="E216" s="2"/>
      <c r="F216" s="2"/>
    </row>
    <row r="217" spans="1:6" ht="15.75" customHeight="1">
      <c r="A217" s="2"/>
      <c r="B217" s="2"/>
      <c r="C217" s="2"/>
      <c r="D217" s="2"/>
      <c r="E217" s="2"/>
      <c r="F217" s="2"/>
    </row>
    <row r="218" spans="1:6" ht="15.75" customHeight="1">
      <c r="A218" s="2"/>
      <c r="B218" s="2"/>
      <c r="C218" s="2"/>
      <c r="D218" s="2"/>
      <c r="E218" s="2"/>
      <c r="F218" s="2"/>
    </row>
    <row r="219" spans="1:6" ht="15.75" customHeight="1">
      <c r="A219" s="2"/>
      <c r="B219" s="2"/>
      <c r="C219" s="2"/>
      <c r="D219" s="2"/>
      <c r="E219" s="2"/>
      <c r="F219" s="2"/>
    </row>
    <row r="220" spans="1:6" ht="15.75" customHeight="1">
      <c r="A220" s="2"/>
      <c r="B220" s="2"/>
      <c r="C220" s="2"/>
      <c r="D220" s="2"/>
      <c r="E220" s="2"/>
      <c r="F220" s="2"/>
    </row>
    <row r="221" spans="1:6" ht="15.75" customHeight="1">
      <c r="A221" s="2"/>
      <c r="B221" s="2"/>
      <c r="C221" s="2"/>
      <c r="D221" s="2"/>
      <c r="E221" s="2"/>
      <c r="F221" s="2"/>
    </row>
    <row r="222" spans="1:6" ht="15.75" customHeight="1">
      <c r="A222" s="2"/>
      <c r="B222" s="2"/>
      <c r="C222" s="2"/>
      <c r="D222" s="2"/>
      <c r="E222" s="2"/>
      <c r="F222" s="2"/>
    </row>
    <row r="223" spans="1:6" ht="15.75" customHeight="1">
      <c r="A223" s="2"/>
      <c r="B223" s="2"/>
      <c r="C223" s="2"/>
      <c r="D223" s="2"/>
      <c r="E223" s="2"/>
      <c r="F223" s="2"/>
    </row>
    <row r="224" spans="1:6" ht="15.75" customHeight="1">
      <c r="A224" s="2"/>
      <c r="B224" s="2"/>
      <c r="C224" s="2"/>
      <c r="D224" s="2"/>
      <c r="E224" s="2"/>
      <c r="F224" s="2"/>
    </row>
    <row r="225" spans="1:6" ht="15.75" customHeight="1">
      <c r="A225" s="2"/>
      <c r="B225" s="2"/>
      <c r="C225" s="2"/>
      <c r="D225" s="2"/>
      <c r="E225" s="2"/>
      <c r="F225" s="2"/>
    </row>
    <row r="226" spans="1:6" ht="15.75" customHeight="1">
      <c r="A226" s="2"/>
      <c r="B226" s="2"/>
      <c r="C226" s="2"/>
      <c r="D226" s="2"/>
      <c r="E226" s="2"/>
      <c r="F226" s="2"/>
    </row>
    <row r="227" spans="1:6" ht="15.75" customHeight="1">
      <c r="A227" s="2"/>
      <c r="B227" s="2"/>
      <c r="C227" s="2"/>
      <c r="D227" s="2"/>
      <c r="E227" s="2"/>
      <c r="F227" s="2"/>
    </row>
    <row r="228" spans="1:6" ht="15.75" customHeight="1">
      <c r="A228" s="2"/>
      <c r="B228" s="2"/>
      <c r="C228" s="2"/>
      <c r="D228" s="2"/>
      <c r="E228" s="2"/>
      <c r="F228" s="2"/>
    </row>
    <row r="229" spans="1:6" ht="15.75" customHeight="1">
      <c r="A229" s="2"/>
      <c r="B229" s="2"/>
      <c r="C229" s="2"/>
      <c r="D229" s="2"/>
      <c r="E229" s="2"/>
      <c r="F229" s="2"/>
    </row>
    <row r="230" spans="1:6" ht="15.75" customHeight="1">
      <c r="A230" s="2"/>
      <c r="B230" s="2"/>
      <c r="C230" s="2"/>
      <c r="D230" s="2"/>
      <c r="E230" s="2"/>
      <c r="F230" s="2"/>
    </row>
    <row r="231" spans="1:6" ht="15.75" customHeight="1">
      <c r="A231" s="2"/>
      <c r="B231" s="2"/>
      <c r="C231" s="2"/>
      <c r="D231" s="2"/>
      <c r="E231" s="2"/>
      <c r="F231" s="2"/>
    </row>
    <row r="232" spans="1:6" ht="15.75" customHeight="1">
      <c r="A232" s="2"/>
      <c r="B232" s="2"/>
      <c r="C232" s="2"/>
      <c r="D232" s="2"/>
      <c r="E232" s="2"/>
      <c r="F232" s="2"/>
    </row>
    <row r="233" spans="1:6" ht="15.75" customHeight="1">
      <c r="A233" s="2"/>
      <c r="B233" s="2"/>
      <c r="C233" s="2"/>
      <c r="D233" s="2"/>
      <c r="E233" s="2"/>
      <c r="F233" s="2"/>
    </row>
    <row r="234" spans="1:6" ht="15.75" customHeight="1">
      <c r="A234" s="2"/>
      <c r="B234" s="2"/>
      <c r="C234" s="2"/>
      <c r="D234" s="2"/>
      <c r="E234" s="2"/>
      <c r="F234" s="2"/>
    </row>
    <row r="235" spans="1:6" ht="15.75" customHeight="1">
      <c r="A235" s="2"/>
      <c r="B235" s="2"/>
      <c r="C235" s="2"/>
      <c r="D235" s="2"/>
      <c r="E235" s="2"/>
      <c r="F235" s="2"/>
    </row>
    <row r="236" spans="1:6" ht="15.75" customHeight="1">
      <c r="A236" s="2"/>
      <c r="B236" s="2"/>
      <c r="C236" s="2"/>
      <c r="D236" s="2"/>
      <c r="E236" s="2"/>
      <c r="F236" s="2"/>
    </row>
    <row r="237" spans="1:6" ht="15.75" customHeight="1">
      <c r="A237" s="2"/>
      <c r="B237" s="2"/>
      <c r="C237" s="2"/>
      <c r="D237" s="2"/>
      <c r="E237" s="2"/>
      <c r="F237" s="2"/>
    </row>
    <row r="238" spans="1:6" ht="15.75" customHeight="1">
      <c r="A238" s="2"/>
      <c r="B238" s="2"/>
      <c r="C238" s="2"/>
      <c r="D238" s="2"/>
      <c r="E238" s="2"/>
      <c r="F238" s="2"/>
    </row>
    <row r="239" spans="1:6" ht="15.75" customHeight="1">
      <c r="A239" s="2"/>
      <c r="B239" s="2"/>
      <c r="C239" s="2"/>
      <c r="D239" s="2"/>
      <c r="E239" s="2"/>
      <c r="F239" s="2"/>
    </row>
    <row r="240" spans="1:6" ht="15.75" customHeight="1">
      <c r="A240" s="2"/>
      <c r="B240" s="2"/>
      <c r="C240" s="2"/>
      <c r="D240" s="2"/>
      <c r="E240" s="2"/>
      <c r="F240" s="2"/>
    </row>
    <row r="241" spans="1:6" ht="15.75" customHeight="1">
      <c r="A241" s="2"/>
      <c r="B241" s="2"/>
      <c r="C241" s="2"/>
      <c r="D241" s="2"/>
      <c r="E241" s="2"/>
      <c r="F241" s="2"/>
    </row>
    <row r="242" spans="1:6" ht="15.75" customHeight="1">
      <c r="A242" s="2"/>
      <c r="B242" s="2"/>
      <c r="C242" s="2"/>
      <c r="D242" s="2"/>
      <c r="E242" s="2"/>
      <c r="F242" s="2"/>
    </row>
    <row r="243" spans="1:6" ht="15.75" customHeight="1">
      <c r="A243" s="2"/>
      <c r="B243" s="2"/>
      <c r="C243" s="2"/>
      <c r="D243" s="2"/>
      <c r="E243" s="2"/>
      <c r="F243" s="2"/>
    </row>
    <row r="244" spans="1:6" ht="15.75" customHeight="1">
      <c r="A244" s="2"/>
      <c r="B244" s="2"/>
      <c r="C244" s="2"/>
      <c r="D244" s="2"/>
      <c r="E244" s="2"/>
      <c r="F244" s="2"/>
    </row>
    <row r="245" spans="1:6" ht="15.75" customHeight="1">
      <c r="A245" s="2"/>
      <c r="B245" s="2"/>
      <c r="C245" s="2"/>
      <c r="D245" s="2"/>
      <c r="E245" s="2"/>
      <c r="F245" s="2"/>
    </row>
    <row r="246" spans="1:6" ht="15.75" customHeight="1">
      <c r="A246" s="2"/>
      <c r="B246" s="2"/>
      <c r="C246" s="2"/>
      <c r="D246" s="2"/>
      <c r="E246" s="2"/>
      <c r="F246" s="2"/>
    </row>
    <row r="247" spans="1:6" ht="15.75" customHeight="1">
      <c r="A247" s="2"/>
      <c r="B247" s="2"/>
      <c r="C247" s="2"/>
      <c r="D247" s="2"/>
      <c r="E247" s="2"/>
      <c r="F247" s="2"/>
    </row>
    <row r="248" spans="1:6" ht="15.75" customHeight="1">
      <c r="A248" s="2"/>
      <c r="B248" s="2"/>
      <c r="C248" s="2"/>
      <c r="D248" s="2"/>
      <c r="E248" s="2"/>
      <c r="F248" s="2"/>
    </row>
    <row r="249" spans="1:6" ht="15.75" customHeight="1">
      <c r="A249" s="2"/>
      <c r="B249" s="2"/>
      <c r="C249" s="2"/>
      <c r="D249" s="2"/>
      <c r="E249" s="2"/>
      <c r="F249" s="2"/>
    </row>
    <row r="250" spans="1:6" ht="15.75" customHeight="1">
      <c r="A250" s="2"/>
      <c r="B250" s="2"/>
      <c r="C250" s="2"/>
      <c r="D250" s="2"/>
      <c r="E250" s="2"/>
      <c r="F250" s="2"/>
    </row>
    <row r="251" spans="1:6" ht="15.75" customHeight="1">
      <c r="A251" s="2"/>
      <c r="B251" s="2"/>
      <c r="C251" s="2"/>
      <c r="D251" s="2"/>
      <c r="E251" s="2"/>
      <c r="F251" s="2"/>
    </row>
    <row r="252" spans="1:6" ht="15.75" customHeight="1">
      <c r="A252" s="2"/>
      <c r="B252" s="2"/>
      <c r="C252" s="2"/>
      <c r="D252" s="2"/>
      <c r="E252" s="2"/>
      <c r="F252" s="2"/>
    </row>
    <row r="253" spans="1:6" ht="15.75" customHeight="1">
      <c r="A253" s="2"/>
      <c r="B253" s="2"/>
      <c r="C253" s="2"/>
      <c r="D253" s="2"/>
      <c r="E253" s="2"/>
      <c r="F253" s="2"/>
    </row>
    <row r="254" spans="1:6" ht="15.75" customHeight="1">
      <c r="A254" s="2"/>
      <c r="B254" s="2"/>
      <c r="C254" s="2"/>
      <c r="D254" s="2"/>
      <c r="E254" s="2"/>
      <c r="F254" s="2"/>
    </row>
    <row r="255" spans="1:6" ht="15.75" customHeight="1">
      <c r="A255" s="2"/>
      <c r="B255" s="2"/>
      <c r="C255" s="2"/>
      <c r="D255" s="2"/>
      <c r="E255" s="2"/>
      <c r="F255" s="2"/>
    </row>
    <row r="256" spans="1:6" ht="15.75" customHeight="1">
      <c r="A256" s="2"/>
      <c r="B256" s="2"/>
      <c r="C256" s="2"/>
      <c r="D256" s="2"/>
      <c r="E256" s="2"/>
      <c r="F256" s="2"/>
    </row>
    <row r="257" spans="1:6" ht="15.75" customHeight="1">
      <c r="A257" s="2"/>
      <c r="B257" s="2"/>
      <c r="C257" s="2"/>
      <c r="D257" s="2"/>
      <c r="E257" s="2"/>
      <c r="F257" s="2"/>
    </row>
    <row r="258" spans="1:6" ht="15.75" customHeight="1">
      <c r="A258" s="2"/>
      <c r="B258" s="2"/>
      <c r="C258" s="2"/>
      <c r="D258" s="2"/>
      <c r="E258" s="2"/>
      <c r="F258" s="2"/>
    </row>
    <row r="259" spans="1:6" ht="15.75" customHeight="1">
      <c r="A259" s="2"/>
      <c r="B259" s="2"/>
      <c r="C259" s="2"/>
      <c r="D259" s="2"/>
      <c r="E259" s="2"/>
      <c r="F259" s="2"/>
    </row>
    <row r="260" spans="1:6" ht="15.75" customHeight="1">
      <c r="A260" s="2"/>
      <c r="B260" s="2"/>
      <c r="C260" s="2"/>
      <c r="D260" s="2"/>
      <c r="E260" s="2"/>
      <c r="F260" s="2"/>
    </row>
    <row r="261" spans="1:6" ht="15.75" customHeight="1">
      <c r="A261" s="2"/>
      <c r="B261" s="2"/>
      <c r="C261" s="2"/>
      <c r="D261" s="2"/>
      <c r="E261" s="2"/>
      <c r="F261" s="2"/>
    </row>
    <row r="262" spans="1:6" ht="15.75" customHeight="1">
      <c r="A262" s="2"/>
      <c r="B262" s="2"/>
      <c r="C262" s="2"/>
      <c r="D262" s="2"/>
      <c r="E262" s="2"/>
      <c r="F262" s="2"/>
    </row>
    <row r="263" spans="1:6" ht="15.75" customHeight="1">
      <c r="A263" s="2"/>
      <c r="B263" s="2"/>
      <c r="C263" s="2"/>
      <c r="D263" s="2"/>
      <c r="E263" s="2"/>
      <c r="F263" s="2"/>
    </row>
    <row r="264" spans="1:6" ht="15.75" customHeight="1">
      <c r="A264" s="2"/>
      <c r="B264" s="2"/>
      <c r="C264" s="2"/>
      <c r="D264" s="2"/>
      <c r="E264" s="2"/>
      <c r="F264" s="2"/>
    </row>
    <row r="265" spans="1:6" ht="15.75" customHeight="1">
      <c r="A265" s="2"/>
      <c r="B265" s="2"/>
      <c r="C265" s="2"/>
      <c r="D265" s="2"/>
      <c r="E265" s="2"/>
      <c r="F265" s="2"/>
    </row>
    <row r="266" spans="1:6" ht="15.75" customHeight="1">
      <c r="A266" s="2"/>
      <c r="B266" s="2"/>
      <c r="C266" s="2"/>
      <c r="D266" s="2"/>
      <c r="E266" s="2"/>
      <c r="F266" s="2"/>
    </row>
    <row r="267" spans="1:6" ht="15.75" customHeight="1">
      <c r="A267" s="2"/>
      <c r="B267" s="2"/>
      <c r="C267" s="2"/>
      <c r="D267" s="2"/>
      <c r="E267" s="2"/>
      <c r="F267" s="2"/>
    </row>
    <row r="268" spans="1:6" ht="15.75" customHeight="1">
      <c r="A268" s="2"/>
      <c r="B268" s="2"/>
      <c r="C268" s="2"/>
      <c r="D268" s="2"/>
      <c r="E268" s="2"/>
      <c r="F268" s="2"/>
    </row>
    <row r="269" spans="1:6" ht="15.75" customHeight="1">
      <c r="A269" s="2"/>
      <c r="B269" s="2"/>
      <c r="C269" s="2"/>
      <c r="D269" s="2"/>
      <c r="E269" s="2"/>
      <c r="F269" s="2"/>
    </row>
    <row r="270" spans="1:6" ht="15.75" customHeight="1">
      <c r="A270" s="2"/>
      <c r="B270" s="2"/>
      <c r="C270" s="2"/>
      <c r="D270" s="2"/>
      <c r="E270" s="2"/>
      <c r="F270" s="2"/>
    </row>
    <row r="271" spans="1:6" ht="15.75" customHeight="1">
      <c r="A271" s="2"/>
      <c r="B271" s="2"/>
      <c r="C271" s="2"/>
      <c r="D271" s="2"/>
      <c r="E271" s="2"/>
      <c r="F271" s="2"/>
    </row>
    <row r="272" spans="1:6" ht="15.75" customHeight="1">
      <c r="A272" s="2"/>
      <c r="B272" s="2"/>
      <c r="C272" s="2"/>
      <c r="D272" s="2"/>
      <c r="E272" s="2"/>
      <c r="F272" s="2"/>
    </row>
    <row r="273" spans="1:6" ht="15.75" customHeight="1">
      <c r="A273" s="2"/>
      <c r="B273" s="2"/>
      <c r="C273" s="2"/>
      <c r="D273" s="2"/>
      <c r="E273" s="2"/>
      <c r="F273" s="2"/>
    </row>
    <row r="274" spans="1:6" ht="15.75" customHeight="1">
      <c r="A274" s="2"/>
      <c r="B274" s="2"/>
      <c r="C274" s="2"/>
      <c r="D274" s="2"/>
      <c r="E274" s="2"/>
      <c r="F274" s="2"/>
    </row>
    <row r="275" spans="1:6" ht="15.75" customHeight="1">
      <c r="A275" s="2"/>
      <c r="B275" s="2"/>
      <c r="C275" s="2"/>
      <c r="D275" s="2"/>
      <c r="E275" s="2"/>
      <c r="F275" s="2"/>
    </row>
    <row r="276" spans="1:6" ht="15.75" customHeight="1">
      <c r="A276" s="2"/>
      <c r="B276" s="2"/>
      <c r="C276" s="2"/>
      <c r="D276" s="2"/>
      <c r="E276" s="2"/>
      <c r="F276" s="2"/>
    </row>
    <row r="277" spans="1:6" ht="15.75" customHeight="1">
      <c r="A277" s="2"/>
      <c r="B277" s="2"/>
      <c r="C277" s="2"/>
      <c r="D277" s="2"/>
      <c r="E277" s="2"/>
      <c r="F277" s="2"/>
    </row>
    <row r="278" spans="1:6" ht="15.75" customHeight="1">
      <c r="A278" s="2"/>
      <c r="B278" s="2"/>
      <c r="C278" s="2"/>
      <c r="D278" s="2"/>
      <c r="E278" s="2"/>
      <c r="F278" s="2"/>
    </row>
    <row r="279" spans="1:6" ht="15.75" customHeight="1">
      <c r="A279" s="2"/>
      <c r="B279" s="2"/>
      <c r="C279" s="2"/>
      <c r="D279" s="2"/>
      <c r="E279" s="2"/>
      <c r="F279" s="2"/>
    </row>
    <row r="280" spans="1:6" ht="15.75" customHeight="1">
      <c r="A280" s="2"/>
      <c r="B280" s="2"/>
      <c r="C280" s="2"/>
      <c r="D280" s="2"/>
      <c r="E280" s="2"/>
      <c r="F280" s="2"/>
    </row>
    <row r="281" spans="1:6" ht="15.75" customHeight="1">
      <c r="A281" s="2"/>
      <c r="B281" s="2"/>
      <c r="C281" s="2"/>
      <c r="D281" s="2"/>
      <c r="E281" s="2"/>
      <c r="F281" s="2"/>
    </row>
    <row r="282" spans="1:6" ht="15.75" customHeight="1">
      <c r="A282" s="2"/>
      <c r="B282" s="2"/>
      <c r="C282" s="2"/>
      <c r="D282" s="2"/>
      <c r="E282" s="2"/>
      <c r="F282" s="2"/>
    </row>
    <row r="283" spans="1:6" ht="15.75" customHeight="1">
      <c r="A283" s="2"/>
      <c r="B283" s="2"/>
      <c r="C283" s="2"/>
      <c r="D283" s="2"/>
      <c r="E283" s="2"/>
      <c r="F283" s="2"/>
    </row>
    <row r="284" spans="1:6" ht="15.75" customHeight="1">
      <c r="A284" s="2"/>
      <c r="B284" s="2"/>
      <c r="C284" s="2"/>
      <c r="D284" s="2"/>
      <c r="E284" s="2"/>
      <c r="F284" s="2"/>
    </row>
    <row r="285" spans="1:6" ht="15.75" customHeight="1">
      <c r="A285" s="2"/>
      <c r="B285" s="2"/>
      <c r="C285" s="2"/>
      <c r="D285" s="2"/>
      <c r="E285" s="2"/>
      <c r="F285" s="2"/>
    </row>
    <row r="286" spans="1:6" ht="15.75" customHeight="1">
      <c r="A286" s="2"/>
      <c r="B286" s="2"/>
      <c r="C286" s="2"/>
      <c r="D286" s="2"/>
      <c r="E286" s="2"/>
      <c r="F286" s="2"/>
    </row>
    <row r="287" spans="1:6" ht="15.75" customHeight="1">
      <c r="A287" s="2"/>
      <c r="B287" s="2"/>
      <c r="C287" s="2"/>
      <c r="D287" s="2"/>
      <c r="E287" s="2"/>
      <c r="F287" s="2"/>
    </row>
    <row r="288" spans="1:6" ht="15.75" customHeight="1">
      <c r="A288" s="2"/>
      <c r="B288" s="2"/>
      <c r="C288" s="2"/>
      <c r="D288" s="2"/>
      <c r="E288" s="2"/>
      <c r="F288" s="2"/>
    </row>
    <row r="289" spans="1:6" ht="15.75" customHeight="1">
      <c r="A289" s="2"/>
      <c r="B289" s="2"/>
      <c r="C289" s="2"/>
      <c r="D289" s="2"/>
      <c r="E289" s="2"/>
      <c r="F289" s="2"/>
    </row>
    <row r="290" spans="1:6" ht="15.75" customHeight="1">
      <c r="A290" s="2"/>
      <c r="B290" s="2"/>
      <c r="C290" s="2"/>
      <c r="D290" s="2"/>
      <c r="E290" s="2"/>
      <c r="F290" s="2"/>
    </row>
    <row r="291" spans="1:6" ht="15.75" customHeight="1">
      <c r="A291" s="2"/>
      <c r="B291" s="2"/>
      <c r="C291" s="2"/>
      <c r="D291" s="2"/>
      <c r="E291" s="2"/>
      <c r="F291" s="2"/>
    </row>
    <row r="292" spans="1:6" ht="15.75" customHeight="1">
      <c r="A292" s="2"/>
      <c r="B292" s="2"/>
      <c r="C292" s="2"/>
      <c r="D292" s="2"/>
      <c r="E292" s="2"/>
      <c r="F292" s="2"/>
    </row>
    <row r="293" spans="1:6" ht="15.75" customHeight="1">
      <c r="A293" s="2"/>
      <c r="B293" s="2"/>
      <c r="C293" s="2"/>
      <c r="D293" s="2"/>
      <c r="E293" s="2"/>
      <c r="F293" s="2"/>
    </row>
    <row r="294" spans="1:6" ht="15.75" customHeight="1">
      <c r="A294" s="2"/>
      <c r="B294" s="2"/>
      <c r="C294" s="2"/>
      <c r="D294" s="2"/>
      <c r="E294" s="2"/>
      <c r="F294" s="2"/>
    </row>
    <row r="295" spans="1:6" ht="15.75" customHeight="1">
      <c r="A295" s="2"/>
      <c r="B295" s="2"/>
      <c r="C295" s="2"/>
      <c r="D295" s="2"/>
      <c r="E295" s="2"/>
      <c r="F295" s="2"/>
    </row>
    <row r="296" spans="1:6" ht="15.75" customHeight="1">
      <c r="A296" s="2"/>
      <c r="B296" s="2"/>
      <c r="C296" s="2"/>
      <c r="D296" s="2"/>
      <c r="E296" s="2"/>
      <c r="F296" s="2"/>
    </row>
    <row r="297" spans="1:6" ht="15.75" customHeight="1">
      <c r="A297" s="2"/>
      <c r="B297" s="2"/>
      <c r="C297" s="2"/>
      <c r="D297" s="2"/>
      <c r="E297" s="2"/>
      <c r="F297" s="2"/>
    </row>
    <row r="298" spans="1:6" ht="15.75" customHeight="1">
      <c r="A298" s="2"/>
      <c r="B298" s="2"/>
      <c r="C298" s="2"/>
      <c r="D298" s="2"/>
      <c r="E298" s="2"/>
      <c r="F298" s="2"/>
    </row>
    <row r="299" spans="1:6" ht="15.75" customHeight="1">
      <c r="A299" s="2"/>
      <c r="B299" s="2"/>
      <c r="C299" s="2"/>
      <c r="D299" s="2"/>
      <c r="E299" s="2"/>
      <c r="F299" s="2"/>
    </row>
    <row r="300" spans="1:6" ht="15.75" customHeight="1">
      <c r="A300" s="2"/>
      <c r="B300" s="2"/>
      <c r="C300" s="2"/>
      <c r="D300" s="2"/>
      <c r="E300" s="2"/>
      <c r="F300" s="2"/>
    </row>
    <row r="301" spans="1:6" ht="15.75" customHeight="1">
      <c r="A301" s="2"/>
      <c r="B301" s="2"/>
      <c r="C301" s="2"/>
      <c r="D301" s="2"/>
      <c r="E301" s="2"/>
      <c r="F301" s="2"/>
    </row>
    <row r="302" spans="1:6" ht="15.75" customHeight="1">
      <c r="A302" s="2"/>
      <c r="B302" s="2"/>
      <c r="C302" s="2"/>
      <c r="D302" s="2"/>
      <c r="E302" s="2"/>
      <c r="F302" s="2"/>
    </row>
    <row r="303" spans="1:6" ht="15.75" customHeight="1">
      <c r="A303" s="2"/>
      <c r="B303" s="2"/>
      <c r="C303" s="2"/>
      <c r="D303" s="2"/>
      <c r="E303" s="2"/>
      <c r="F303" s="2"/>
    </row>
    <row r="304" spans="1:6" ht="15.75" customHeight="1">
      <c r="A304" s="2"/>
      <c r="B304" s="2"/>
      <c r="C304" s="2"/>
      <c r="D304" s="2"/>
      <c r="E304" s="2"/>
      <c r="F304" s="2"/>
    </row>
    <row r="305" spans="1:6" ht="15.75" customHeight="1">
      <c r="A305" s="2"/>
      <c r="B305" s="2"/>
      <c r="C305" s="2"/>
      <c r="D305" s="2"/>
      <c r="E305" s="2"/>
      <c r="F305" s="2"/>
    </row>
    <row r="306" spans="1:6" ht="15.75" customHeight="1">
      <c r="A306" s="2"/>
      <c r="B306" s="2"/>
      <c r="C306" s="2"/>
      <c r="D306" s="2"/>
      <c r="E306" s="2"/>
      <c r="F306" s="2"/>
    </row>
    <row r="307" spans="1:6" ht="15.75" customHeight="1">
      <c r="A307" s="2"/>
      <c r="B307" s="2"/>
      <c r="C307" s="2"/>
      <c r="D307" s="2"/>
      <c r="E307" s="2"/>
      <c r="F307" s="2"/>
    </row>
    <row r="308" spans="1:6" ht="15.75" customHeight="1">
      <c r="A308" s="2"/>
      <c r="B308" s="2"/>
      <c r="C308" s="2"/>
      <c r="D308" s="2"/>
      <c r="E308" s="2"/>
      <c r="F308" s="2"/>
    </row>
    <row r="309" spans="1:6" ht="15.75" customHeight="1">
      <c r="A309" s="2"/>
      <c r="B309" s="2"/>
      <c r="C309" s="2"/>
      <c r="D309" s="2"/>
      <c r="E309" s="2"/>
      <c r="F309" s="2"/>
    </row>
    <row r="310" spans="1:6" ht="15.75" customHeight="1">
      <c r="A310" s="2"/>
      <c r="B310" s="2"/>
      <c r="C310" s="2"/>
      <c r="D310" s="2"/>
      <c r="E310" s="2"/>
      <c r="F310" s="2"/>
    </row>
    <row r="311" spans="1:6" ht="15.75" customHeight="1">
      <c r="A311" s="2"/>
      <c r="B311" s="2"/>
      <c r="C311" s="2"/>
      <c r="D311" s="2"/>
      <c r="E311" s="2"/>
      <c r="F311" s="2"/>
    </row>
    <row r="312" spans="1:6" ht="15.75" customHeight="1">
      <c r="A312" s="2"/>
      <c r="B312" s="2"/>
      <c r="C312" s="2"/>
      <c r="D312" s="2"/>
      <c r="E312" s="2"/>
      <c r="F312" s="2"/>
    </row>
    <row r="313" spans="1:6" ht="15.75" customHeight="1">
      <c r="A313" s="2"/>
      <c r="B313" s="2"/>
      <c r="C313" s="2"/>
      <c r="D313" s="2"/>
      <c r="E313" s="2"/>
      <c r="F313" s="2"/>
    </row>
    <row r="314" spans="1:6" ht="15.75" customHeight="1">
      <c r="A314" s="2"/>
      <c r="B314" s="2"/>
      <c r="C314" s="2"/>
      <c r="D314" s="2"/>
      <c r="E314" s="2"/>
      <c r="F314" s="2"/>
    </row>
    <row r="315" spans="1:6" ht="15.75" customHeight="1">
      <c r="A315" s="2"/>
      <c r="B315" s="2"/>
      <c r="C315" s="2"/>
      <c r="D315" s="2"/>
      <c r="E315" s="2"/>
      <c r="F315" s="2"/>
    </row>
    <row r="316" spans="1:6" ht="15.75" customHeight="1">
      <c r="A316" s="2"/>
      <c r="B316" s="2"/>
      <c r="C316" s="2"/>
      <c r="D316" s="2"/>
      <c r="E316" s="2"/>
      <c r="F316" s="2"/>
    </row>
    <row r="317" spans="1:6" ht="15.75" customHeight="1">
      <c r="A317" s="2"/>
      <c r="B317" s="2"/>
      <c r="C317" s="2"/>
      <c r="D317" s="2"/>
      <c r="E317" s="2"/>
      <c r="F317" s="2"/>
    </row>
    <row r="318" spans="1:6" ht="15.75" customHeight="1">
      <c r="A318" s="2"/>
      <c r="B318" s="2"/>
      <c r="C318" s="2"/>
      <c r="D318" s="2"/>
      <c r="E318" s="2"/>
      <c r="F318" s="2"/>
    </row>
    <row r="319" spans="1:6" ht="15.75" customHeight="1">
      <c r="A319" s="2"/>
      <c r="B319" s="2"/>
      <c r="C319" s="2"/>
      <c r="D319" s="2"/>
      <c r="E319" s="2"/>
      <c r="F319" s="2"/>
    </row>
    <row r="320" spans="1:6" ht="15.75" customHeight="1">
      <c r="A320" s="2"/>
      <c r="B320" s="2"/>
      <c r="C320" s="2"/>
      <c r="D320" s="2"/>
      <c r="E320" s="2"/>
      <c r="F320" s="2"/>
    </row>
    <row r="321" spans="1:6" ht="15.75" customHeight="1">
      <c r="A321" s="2"/>
      <c r="B321" s="2"/>
      <c r="C321" s="2"/>
      <c r="D321" s="2"/>
      <c r="E321" s="2"/>
      <c r="F321" s="2"/>
    </row>
    <row r="322" spans="1:6" ht="15.75" customHeight="1">
      <c r="A322" s="2"/>
      <c r="B322" s="2"/>
      <c r="C322" s="2"/>
      <c r="D322" s="2"/>
      <c r="E322" s="2"/>
      <c r="F322" s="2"/>
    </row>
    <row r="323" spans="1:6" ht="15.75" customHeight="1">
      <c r="A323" s="2"/>
      <c r="B323" s="2"/>
      <c r="C323" s="2"/>
      <c r="D323" s="2"/>
      <c r="E323" s="2"/>
      <c r="F323" s="2"/>
    </row>
    <row r="324" spans="1:6" ht="15.75" customHeight="1">
      <c r="A324" s="2"/>
      <c r="B324" s="2"/>
      <c r="C324" s="2"/>
      <c r="D324" s="2"/>
      <c r="E324" s="2"/>
      <c r="F324" s="2"/>
    </row>
    <row r="325" spans="1:6" ht="15.75" customHeight="1">
      <c r="A325" s="2"/>
      <c r="B325" s="2"/>
      <c r="C325" s="2"/>
      <c r="D325" s="2"/>
      <c r="E325" s="2"/>
      <c r="F325" s="2"/>
    </row>
    <row r="326" spans="1:6" ht="15.75" customHeight="1">
      <c r="A326" s="2"/>
      <c r="B326" s="2"/>
      <c r="C326" s="2"/>
      <c r="D326" s="2"/>
      <c r="E326" s="2"/>
      <c r="F326" s="2"/>
    </row>
    <row r="327" spans="1:6" ht="15.75" customHeight="1">
      <c r="A327" s="2"/>
      <c r="B327" s="2"/>
      <c r="C327" s="2"/>
      <c r="D327" s="2"/>
      <c r="E327" s="2"/>
      <c r="F327" s="2"/>
    </row>
    <row r="328" spans="1:6" ht="15.75" customHeight="1">
      <c r="A328" s="2"/>
      <c r="B328" s="2"/>
      <c r="C328" s="2"/>
      <c r="D328" s="2"/>
      <c r="E328" s="2"/>
      <c r="F328" s="2"/>
    </row>
    <row r="329" spans="1:6" ht="15.75" customHeight="1">
      <c r="A329" s="2"/>
      <c r="B329" s="2"/>
      <c r="C329" s="2"/>
      <c r="D329" s="2"/>
      <c r="E329" s="2"/>
      <c r="F329" s="2"/>
    </row>
    <row r="330" spans="1:6" ht="15.75" customHeight="1">
      <c r="A330" s="2"/>
      <c r="B330" s="2"/>
      <c r="C330" s="2"/>
      <c r="D330" s="2"/>
      <c r="E330" s="2"/>
      <c r="F330" s="2"/>
    </row>
    <row r="331" spans="1:6" ht="15.75" customHeight="1">
      <c r="A331" s="2"/>
      <c r="B331" s="2"/>
      <c r="C331" s="2"/>
      <c r="D331" s="2"/>
      <c r="E331" s="2"/>
      <c r="F331" s="2"/>
    </row>
    <row r="332" spans="1:6" ht="15.75" customHeight="1">
      <c r="A332" s="2"/>
      <c r="B332" s="2"/>
      <c r="C332" s="2"/>
      <c r="D332" s="2"/>
      <c r="E332" s="2"/>
      <c r="F332" s="2"/>
    </row>
    <row r="333" spans="1:6" ht="15.75" customHeight="1">
      <c r="A333" s="2"/>
      <c r="B333" s="2"/>
      <c r="C333" s="2"/>
      <c r="D333" s="2"/>
      <c r="E333" s="2"/>
      <c r="F333" s="2"/>
    </row>
    <row r="334" spans="1:6" ht="15.75" customHeight="1">
      <c r="A334" s="2"/>
      <c r="B334" s="2"/>
      <c r="C334" s="2"/>
      <c r="D334" s="2"/>
      <c r="E334" s="2"/>
      <c r="F334" s="2"/>
    </row>
    <row r="335" spans="1:6" ht="15.75" customHeight="1">
      <c r="A335" s="2"/>
      <c r="B335" s="2"/>
      <c r="C335" s="2"/>
      <c r="D335" s="2"/>
      <c r="E335" s="2"/>
      <c r="F335" s="2"/>
    </row>
    <row r="336" spans="1:6" ht="15.75" customHeight="1">
      <c r="A336" s="2"/>
      <c r="B336" s="2"/>
      <c r="C336" s="2"/>
      <c r="D336" s="2"/>
      <c r="E336" s="2"/>
      <c r="F336" s="2"/>
    </row>
    <row r="337" spans="1:6" ht="15.75" customHeight="1">
      <c r="A337" s="2"/>
      <c r="B337" s="2"/>
      <c r="C337" s="2"/>
      <c r="D337" s="2"/>
      <c r="E337" s="2"/>
      <c r="F337" s="2"/>
    </row>
    <row r="338" spans="1:6" ht="15.75" customHeight="1">
      <c r="A338" s="2"/>
      <c r="B338" s="2"/>
      <c r="C338" s="2"/>
      <c r="D338" s="2"/>
      <c r="E338" s="2"/>
      <c r="F338" s="2"/>
    </row>
    <row r="339" spans="1:6" ht="15.75" customHeight="1">
      <c r="A339" s="2"/>
      <c r="B339" s="2"/>
      <c r="C339" s="2"/>
      <c r="D339" s="2"/>
      <c r="E339" s="2"/>
      <c r="F339" s="2"/>
    </row>
    <row r="340" spans="1:6" ht="15.75" customHeight="1">
      <c r="A340" s="2"/>
      <c r="B340" s="2"/>
      <c r="C340" s="2"/>
      <c r="D340" s="2"/>
      <c r="E340" s="2"/>
      <c r="F340" s="2"/>
    </row>
    <row r="341" spans="1:6" ht="15.75" customHeight="1">
      <c r="A341" s="2"/>
      <c r="B341" s="2"/>
      <c r="C341" s="2"/>
      <c r="D341" s="2"/>
      <c r="E341" s="2"/>
      <c r="F341" s="2"/>
    </row>
    <row r="342" spans="1:6" ht="15.75" customHeight="1">
      <c r="A342" s="2"/>
      <c r="B342" s="2"/>
      <c r="C342" s="2"/>
      <c r="D342" s="2"/>
      <c r="E342" s="2"/>
      <c r="F342" s="2"/>
    </row>
    <row r="343" spans="1:6" ht="15.75" customHeight="1">
      <c r="A343" s="2"/>
      <c r="B343" s="2"/>
      <c r="C343" s="2"/>
      <c r="D343" s="2"/>
      <c r="E343" s="2"/>
      <c r="F343" s="2"/>
    </row>
    <row r="344" spans="1:6" ht="15.75" customHeight="1">
      <c r="A344" s="2"/>
      <c r="B344" s="2"/>
      <c r="C344" s="2"/>
      <c r="D344" s="2"/>
      <c r="E344" s="2"/>
      <c r="F344" s="2"/>
    </row>
    <row r="345" spans="1:6" ht="15.75" customHeight="1">
      <c r="A345" s="2"/>
      <c r="B345" s="2"/>
      <c r="C345" s="2"/>
      <c r="D345" s="2"/>
      <c r="E345" s="2"/>
      <c r="F345" s="2"/>
    </row>
    <row r="346" spans="1:6" ht="15.75" customHeight="1">
      <c r="A346" s="2"/>
      <c r="B346" s="2"/>
      <c r="C346" s="2"/>
      <c r="D346" s="2"/>
      <c r="E346" s="2"/>
      <c r="F346" s="2"/>
    </row>
    <row r="347" spans="1:6" ht="15.75" customHeight="1">
      <c r="A347" s="2"/>
      <c r="B347" s="2"/>
      <c r="C347" s="2"/>
      <c r="D347" s="2"/>
      <c r="E347" s="2"/>
      <c r="F347" s="2"/>
    </row>
    <row r="348" spans="1:6" ht="15.75" customHeight="1">
      <c r="A348" s="2"/>
      <c r="B348" s="2"/>
      <c r="C348" s="2"/>
      <c r="D348" s="2"/>
      <c r="E348" s="2"/>
      <c r="F348" s="2"/>
    </row>
    <row r="349" spans="1:6" ht="15.75" customHeight="1">
      <c r="A349" s="2"/>
      <c r="B349" s="2"/>
      <c r="C349" s="2"/>
      <c r="D349" s="2"/>
      <c r="E349" s="2"/>
      <c r="F349" s="2"/>
    </row>
    <row r="350" spans="1:6" ht="15.75" customHeight="1">
      <c r="A350" s="2"/>
      <c r="B350" s="2"/>
      <c r="C350" s="2"/>
      <c r="D350" s="2"/>
      <c r="E350" s="2"/>
      <c r="F350" s="2"/>
    </row>
    <row r="351" spans="1:6" ht="15.75" customHeight="1">
      <c r="A351" s="2"/>
      <c r="B351" s="2"/>
      <c r="C351" s="2"/>
      <c r="D351" s="2"/>
      <c r="E351" s="2"/>
      <c r="F351" s="2"/>
    </row>
    <row r="352" spans="1:6" ht="15.75" customHeight="1">
      <c r="A352" s="2"/>
      <c r="B352" s="2"/>
      <c r="C352" s="2"/>
      <c r="D352" s="2"/>
      <c r="E352" s="2"/>
      <c r="F352" s="2"/>
    </row>
    <row r="353" spans="1:6" ht="15.75" customHeight="1">
      <c r="A353" s="2"/>
      <c r="B353" s="2"/>
      <c r="C353" s="2"/>
      <c r="D353" s="2"/>
      <c r="E353" s="2"/>
      <c r="F353" s="2"/>
    </row>
    <row r="354" spans="1:6" ht="15.75" customHeight="1">
      <c r="A354" s="2"/>
      <c r="B354" s="2"/>
      <c r="C354" s="2"/>
      <c r="D354" s="2"/>
      <c r="E354" s="2"/>
      <c r="F354" s="2"/>
    </row>
    <row r="355" spans="1:6" ht="15.75" customHeight="1">
      <c r="A355" s="2"/>
      <c r="B355" s="2"/>
      <c r="C355" s="2"/>
      <c r="D355" s="2"/>
      <c r="E355" s="2"/>
      <c r="F355" s="2"/>
    </row>
    <row r="356" spans="1:6" ht="15.75" customHeight="1">
      <c r="A356" s="2"/>
      <c r="B356" s="2"/>
      <c r="C356" s="2"/>
      <c r="D356" s="2"/>
      <c r="E356" s="2"/>
      <c r="F356" s="2"/>
    </row>
    <row r="357" spans="1:6" ht="15.75" customHeight="1">
      <c r="A357" s="2"/>
      <c r="B357" s="2"/>
      <c r="C357" s="2"/>
      <c r="D357" s="2"/>
      <c r="E357" s="2"/>
      <c r="F357" s="2"/>
    </row>
    <row r="358" spans="1:6" ht="15.75" customHeight="1">
      <c r="A358" s="2"/>
      <c r="B358" s="2"/>
      <c r="C358" s="2"/>
      <c r="D358" s="2"/>
      <c r="E358" s="2"/>
      <c r="F358" s="2"/>
    </row>
    <row r="359" spans="1:6" ht="15.75" customHeight="1">
      <c r="A359" s="2"/>
      <c r="B359" s="2"/>
      <c r="C359" s="2"/>
      <c r="D359" s="2"/>
      <c r="E359" s="2"/>
      <c r="F359" s="2"/>
    </row>
    <row r="360" spans="1:6" ht="15.75" customHeight="1">
      <c r="A360" s="2"/>
      <c r="B360" s="2"/>
      <c r="C360" s="2"/>
      <c r="D360" s="2"/>
      <c r="E360" s="2"/>
      <c r="F360" s="2"/>
    </row>
    <row r="361" spans="1:6" ht="15.75" customHeight="1">
      <c r="A361" s="2"/>
      <c r="B361" s="2"/>
      <c r="C361" s="2"/>
      <c r="D361" s="2"/>
      <c r="E361" s="2"/>
      <c r="F361" s="2"/>
    </row>
    <row r="362" spans="1:6" ht="15.75" customHeight="1">
      <c r="A362" s="2"/>
      <c r="B362" s="2"/>
      <c r="C362" s="2"/>
      <c r="D362" s="2"/>
      <c r="E362" s="2"/>
      <c r="F362" s="2"/>
    </row>
    <row r="363" spans="1:6" ht="15.75" customHeight="1">
      <c r="A363" s="2"/>
      <c r="B363" s="2"/>
      <c r="C363" s="2"/>
      <c r="D363" s="2"/>
      <c r="E363" s="2"/>
      <c r="F363" s="2"/>
    </row>
    <row r="364" spans="1:6" ht="15.75" customHeight="1">
      <c r="A364" s="2"/>
      <c r="B364" s="2"/>
      <c r="C364" s="2"/>
      <c r="D364" s="2"/>
      <c r="E364" s="2"/>
      <c r="F364" s="2"/>
    </row>
    <row r="365" spans="1:6" ht="15.75" customHeight="1">
      <c r="A365" s="2"/>
      <c r="B365" s="2"/>
      <c r="C365" s="2"/>
      <c r="D365" s="2"/>
      <c r="E365" s="2"/>
      <c r="F365" s="2"/>
    </row>
    <row r="366" spans="1:6" ht="15.75" customHeight="1">
      <c r="A366" s="2"/>
      <c r="B366" s="2"/>
      <c r="C366" s="2"/>
      <c r="D366" s="2"/>
      <c r="E366" s="2"/>
      <c r="F366" s="2"/>
    </row>
    <row r="367" spans="1:6" ht="15.75" customHeight="1">
      <c r="A367" s="2"/>
      <c r="B367" s="2"/>
      <c r="C367" s="2"/>
      <c r="D367" s="2"/>
      <c r="E367" s="2"/>
      <c r="F367" s="2"/>
    </row>
    <row r="368" spans="1:6" ht="15.75" customHeight="1">
      <c r="A368" s="2"/>
      <c r="B368" s="2"/>
      <c r="C368" s="2"/>
      <c r="D368" s="2"/>
      <c r="E368" s="2"/>
      <c r="F368" s="2"/>
    </row>
    <row r="369" spans="1:6" ht="15.75" customHeight="1">
      <c r="A369" s="2"/>
      <c r="B369" s="2"/>
      <c r="C369" s="2"/>
      <c r="D369" s="2"/>
      <c r="E369" s="2"/>
      <c r="F369" s="2"/>
    </row>
    <row r="370" spans="1:6" ht="15.75" customHeight="1">
      <c r="A370" s="2"/>
      <c r="B370" s="2"/>
      <c r="C370" s="2"/>
      <c r="D370" s="2"/>
      <c r="E370" s="2"/>
      <c r="F370" s="2"/>
    </row>
    <row r="371" spans="1:6" ht="15.75" customHeight="1">
      <c r="A371" s="2"/>
      <c r="B371" s="2"/>
      <c r="C371" s="2"/>
      <c r="D371" s="2"/>
      <c r="E371" s="2"/>
      <c r="F371" s="2"/>
    </row>
    <row r="372" spans="1:6" ht="15.75" customHeight="1">
      <c r="A372" s="2"/>
      <c r="B372" s="2"/>
      <c r="C372" s="2"/>
      <c r="D372" s="2"/>
      <c r="E372" s="2"/>
      <c r="F372" s="2"/>
    </row>
    <row r="373" spans="1:6" ht="15.75" customHeight="1">
      <c r="A373" s="2"/>
      <c r="B373" s="2"/>
      <c r="C373" s="2"/>
      <c r="D373" s="2"/>
      <c r="E373" s="2"/>
      <c r="F373" s="2"/>
    </row>
    <row r="374" spans="1:6" ht="15.75" customHeight="1">
      <c r="A374" s="2"/>
      <c r="B374" s="2"/>
      <c r="C374" s="2"/>
      <c r="D374" s="2"/>
      <c r="E374" s="2"/>
      <c r="F374" s="2"/>
    </row>
    <row r="375" spans="1:6" ht="15.75" customHeight="1">
      <c r="A375" s="2"/>
      <c r="B375" s="2"/>
      <c r="C375" s="2"/>
      <c r="D375" s="2"/>
      <c r="E375" s="2"/>
      <c r="F375" s="2"/>
    </row>
    <row r="376" spans="1:6" ht="15.75" customHeight="1">
      <c r="A376" s="2"/>
      <c r="B376" s="2"/>
      <c r="C376" s="2"/>
      <c r="D376" s="2"/>
      <c r="E376" s="2"/>
      <c r="F376" s="2"/>
    </row>
    <row r="377" spans="1:6" ht="15.75" customHeight="1">
      <c r="A377" s="2"/>
      <c r="B377" s="2"/>
      <c r="C377" s="2"/>
      <c r="D377" s="2"/>
      <c r="E377" s="2"/>
      <c r="F377" s="2"/>
    </row>
    <row r="378" spans="1:6" ht="15.75" customHeight="1">
      <c r="A378" s="2"/>
      <c r="B378" s="2"/>
      <c r="C378" s="2"/>
      <c r="D378" s="2"/>
      <c r="E378" s="2"/>
      <c r="F378" s="2"/>
    </row>
    <row r="379" spans="1:6" ht="15.75" customHeight="1">
      <c r="A379" s="2"/>
      <c r="B379" s="2"/>
      <c r="C379" s="2"/>
      <c r="D379" s="2"/>
      <c r="E379" s="2"/>
      <c r="F379" s="2"/>
    </row>
    <row r="380" spans="1:6" ht="15.75" customHeight="1">
      <c r="A380" s="2"/>
      <c r="B380" s="2"/>
      <c r="C380" s="2"/>
      <c r="D380" s="2"/>
      <c r="E380" s="2"/>
      <c r="F380" s="2"/>
    </row>
    <row r="381" spans="1:6" ht="15.75" customHeight="1">
      <c r="A381" s="2"/>
      <c r="B381" s="2"/>
      <c r="C381" s="2"/>
      <c r="D381" s="2"/>
      <c r="E381" s="2"/>
      <c r="F381" s="2"/>
    </row>
    <row r="382" spans="1:6" ht="15.75" customHeight="1">
      <c r="A382" s="2"/>
      <c r="B382" s="2"/>
      <c r="C382" s="2"/>
      <c r="D382" s="2"/>
      <c r="E382" s="2"/>
      <c r="F382" s="2"/>
    </row>
    <row r="383" spans="1:6" ht="15.75" customHeight="1">
      <c r="A383" s="2"/>
      <c r="B383" s="2"/>
      <c r="C383" s="2"/>
      <c r="D383" s="2"/>
      <c r="E383" s="2"/>
      <c r="F383" s="2"/>
    </row>
    <row r="384" spans="1:6" ht="15.75" customHeight="1">
      <c r="A384" s="2"/>
      <c r="B384" s="2"/>
      <c r="C384" s="2"/>
      <c r="D384" s="2"/>
      <c r="E384" s="2"/>
      <c r="F384" s="2"/>
    </row>
    <row r="385" spans="1:6" ht="15.75" customHeight="1">
      <c r="A385" s="2"/>
      <c r="B385" s="2"/>
      <c r="C385" s="2"/>
      <c r="D385" s="2"/>
      <c r="E385" s="2"/>
      <c r="F385" s="2"/>
    </row>
    <row r="386" spans="1:6" ht="15.75" customHeight="1">
      <c r="A386" s="2"/>
      <c r="B386" s="2"/>
      <c r="C386" s="2"/>
      <c r="D386" s="2"/>
      <c r="E386" s="2"/>
      <c r="F386" s="2"/>
    </row>
    <row r="387" spans="1:6" ht="15.75" customHeight="1">
      <c r="A387" s="2"/>
      <c r="B387" s="2"/>
      <c r="C387" s="2"/>
      <c r="D387" s="2"/>
      <c r="E387" s="2"/>
      <c r="F387" s="2"/>
    </row>
    <row r="388" spans="1:6" ht="15.75" customHeight="1">
      <c r="A388" s="2"/>
      <c r="B388" s="2"/>
      <c r="C388" s="2"/>
      <c r="D388" s="2"/>
      <c r="E388" s="2"/>
      <c r="F388" s="2"/>
    </row>
    <row r="389" spans="1:6" ht="15.75" customHeight="1">
      <c r="A389" s="2"/>
      <c r="B389" s="2"/>
      <c r="C389" s="2"/>
      <c r="D389" s="2"/>
      <c r="E389" s="2"/>
      <c r="F389" s="2"/>
    </row>
    <row r="390" spans="1:6" ht="15.75" customHeight="1">
      <c r="A390" s="2"/>
      <c r="B390" s="2"/>
      <c r="C390" s="2"/>
      <c r="D390" s="2"/>
      <c r="E390" s="2"/>
      <c r="F390" s="2"/>
    </row>
    <row r="391" spans="1:6" ht="15.75" customHeight="1">
      <c r="A391" s="2"/>
      <c r="B391" s="2"/>
      <c r="C391" s="2"/>
      <c r="D391" s="2"/>
      <c r="E391" s="2"/>
      <c r="F391" s="2"/>
    </row>
    <row r="392" spans="1:6" ht="15.75" customHeight="1">
      <c r="A392" s="2"/>
      <c r="B392" s="2"/>
      <c r="C392" s="2"/>
      <c r="D392" s="2"/>
      <c r="E392" s="2"/>
      <c r="F392" s="2"/>
    </row>
    <row r="393" spans="1:6" ht="15.75" customHeight="1">
      <c r="A393" s="2"/>
      <c r="B393" s="2"/>
      <c r="C393" s="2"/>
      <c r="D393" s="2"/>
      <c r="E393" s="2"/>
      <c r="F393" s="2"/>
    </row>
    <row r="394" spans="1:6" ht="15.75" customHeight="1">
      <c r="A394" s="2"/>
      <c r="B394" s="2"/>
      <c r="C394" s="2"/>
      <c r="D394" s="2"/>
      <c r="E394" s="2"/>
      <c r="F394" s="2"/>
    </row>
    <row r="395" spans="1:6" ht="15.75" customHeight="1">
      <c r="A395" s="2"/>
      <c r="B395" s="2"/>
      <c r="C395" s="2"/>
      <c r="D395" s="2"/>
      <c r="E395" s="2"/>
      <c r="F395" s="2"/>
    </row>
    <row r="396" spans="1:6" ht="15.75" customHeight="1">
      <c r="A396" s="2"/>
      <c r="B396" s="2"/>
      <c r="C396" s="2"/>
      <c r="D396" s="2"/>
      <c r="E396" s="2"/>
      <c r="F396" s="2"/>
    </row>
    <row r="397" spans="1:6" ht="15.75" customHeight="1">
      <c r="A397" s="2"/>
      <c r="B397" s="2"/>
      <c r="C397" s="2"/>
      <c r="D397" s="2"/>
      <c r="E397" s="2"/>
      <c r="F397" s="2"/>
    </row>
    <row r="398" spans="1:6" ht="15.75" customHeight="1">
      <c r="A398" s="2"/>
      <c r="B398" s="2"/>
      <c r="C398" s="2"/>
      <c r="D398" s="2"/>
      <c r="E398" s="2"/>
      <c r="F398" s="2"/>
    </row>
    <row r="399" spans="1:6" ht="15.75" customHeight="1">
      <c r="A399" s="2"/>
      <c r="B399" s="2"/>
      <c r="C399" s="2"/>
      <c r="D399" s="2"/>
      <c r="E399" s="2"/>
      <c r="F399" s="2"/>
    </row>
    <row r="400" spans="1:6" ht="15.75" customHeight="1">
      <c r="A400" s="2"/>
      <c r="B400" s="2"/>
      <c r="C400" s="2"/>
      <c r="D400" s="2"/>
      <c r="E400" s="2"/>
      <c r="F400" s="2"/>
    </row>
    <row r="401" spans="1:6" ht="15.75" customHeight="1">
      <c r="A401" s="2"/>
      <c r="B401" s="2"/>
      <c r="C401" s="2"/>
      <c r="D401" s="2"/>
      <c r="E401" s="2"/>
      <c r="F401" s="2"/>
    </row>
    <row r="402" spans="1:6" ht="15.75" customHeight="1">
      <c r="A402" s="2"/>
      <c r="B402" s="2"/>
      <c r="C402" s="2"/>
      <c r="D402" s="2"/>
      <c r="E402" s="2"/>
      <c r="F402" s="2"/>
    </row>
    <row r="403" spans="1:6" ht="15.75" customHeight="1">
      <c r="A403" s="2"/>
      <c r="B403" s="2"/>
      <c r="C403" s="2"/>
      <c r="D403" s="2"/>
      <c r="E403" s="2"/>
      <c r="F403" s="2"/>
    </row>
    <row r="404" spans="1:6" ht="15.75" customHeight="1">
      <c r="A404" s="2"/>
      <c r="B404" s="2"/>
      <c r="C404" s="2"/>
      <c r="D404" s="2"/>
      <c r="E404" s="2"/>
      <c r="F404" s="2"/>
    </row>
    <row r="405" spans="1:6" ht="15.75" customHeight="1">
      <c r="A405" s="2"/>
      <c r="B405" s="2"/>
      <c r="C405" s="2"/>
      <c r="D405" s="2"/>
      <c r="E405" s="2"/>
      <c r="F405" s="2"/>
    </row>
    <row r="406" spans="1:6" ht="15.75" customHeight="1">
      <c r="A406" s="2"/>
      <c r="B406" s="2"/>
      <c r="C406" s="2"/>
      <c r="D406" s="2"/>
      <c r="E406" s="2"/>
      <c r="F406" s="2"/>
    </row>
    <row r="407" spans="1:6" ht="15.75" customHeight="1">
      <c r="A407" s="2"/>
      <c r="B407" s="2"/>
      <c r="C407" s="2"/>
      <c r="D407" s="2"/>
      <c r="E407" s="2"/>
      <c r="F407" s="2"/>
    </row>
    <row r="408" spans="1:6" ht="15.75" customHeight="1">
      <c r="A408" s="2"/>
      <c r="B408" s="2"/>
      <c r="C408" s="2"/>
      <c r="D408" s="2"/>
      <c r="E408" s="2"/>
      <c r="F408" s="2"/>
    </row>
    <row r="409" spans="1:6" ht="15.75" customHeight="1">
      <c r="A409" s="2"/>
      <c r="B409" s="2"/>
      <c r="C409" s="2"/>
      <c r="D409" s="2"/>
      <c r="E409" s="2"/>
      <c r="F409" s="2"/>
    </row>
    <row r="410" spans="1:6" ht="15.75" customHeight="1">
      <c r="A410" s="2"/>
      <c r="B410" s="2"/>
      <c r="C410" s="2"/>
      <c r="D410" s="2"/>
      <c r="E410" s="2"/>
      <c r="F410" s="2"/>
    </row>
    <row r="411" spans="1:6" ht="15.75" customHeight="1">
      <c r="A411" s="2"/>
      <c r="B411" s="2"/>
      <c r="C411" s="2"/>
      <c r="D411" s="2"/>
      <c r="E411" s="2"/>
      <c r="F411" s="2"/>
    </row>
    <row r="412" spans="1:6" ht="15.75" customHeight="1">
      <c r="A412" s="2"/>
      <c r="B412" s="2"/>
      <c r="C412" s="2"/>
      <c r="D412" s="2"/>
      <c r="E412" s="2"/>
      <c r="F412" s="2"/>
    </row>
    <row r="413" spans="1:6" ht="15.75" customHeight="1">
      <c r="A413" s="2"/>
      <c r="B413" s="2"/>
      <c r="C413" s="2"/>
      <c r="D413" s="2"/>
      <c r="E413" s="2"/>
      <c r="F413" s="2"/>
    </row>
    <row r="414" spans="1:6" ht="15.75" customHeight="1">
      <c r="A414" s="2"/>
      <c r="B414" s="2"/>
      <c r="C414" s="2"/>
      <c r="D414" s="2"/>
      <c r="E414" s="2"/>
      <c r="F414" s="2"/>
    </row>
    <row r="415" spans="1:6" ht="15.75" customHeight="1">
      <c r="A415" s="2"/>
      <c r="B415" s="2"/>
      <c r="C415" s="2"/>
      <c r="D415" s="2"/>
      <c r="E415" s="2"/>
      <c r="F415" s="2"/>
    </row>
    <row r="416" spans="1:6" ht="15.75" customHeight="1">
      <c r="A416" s="2"/>
      <c r="B416" s="2"/>
      <c r="C416" s="2"/>
      <c r="D416" s="2"/>
      <c r="E416" s="2"/>
      <c r="F416" s="2"/>
    </row>
    <row r="417" spans="1:6" ht="15.75" customHeight="1">
      <c r="A417" s="2"/>
      <c r="B417" s="2"/>
      <c r="C417" s="2"/>
      <c r="D417" s="2"/>
      <c r="E417" s="2"/>
      <c r="F417" s="2"/>
    </row>
    <row r="418" spans="1:6" ht="15.75" customHeight="1">
      <c r="A418" s="2"/>
      <c r="B418" s="2"/>
      <c r="C418" s="2"/>
      <c r="D418" s="2"/>
      <c r="E418" s="2"/>
      <c r="F418" s="2"/>
    </row>
    <row r="419" spans="1:6" ht="15.75" customHeight="1">
      <c r="A419" s="2"/>
      <c r="B419" s="2"/>
      <c r="C419" s="2"/>
      <c r="D419" s="2"/>
      <c r="E419" s="2"/>
      <c r="F419" s="2"/>
    </row>
    <row r="420" spans="1:6" ht="15.75" customHeight="1">
      <c r="A420" s="2"/>
      <c r="B420" s="2"/>
      <c r="C420" s="2"/>
      <c r="D420" s="2"/>
      <c r="E420" s="2"/>
      <c r="F420" s="2"/>
    </row>
    <row r="421" spans="1:6" ht="15.75" customHeight="1">
      <c r="A421" s="2"/>
      <c r="B421" s="2"/>
      <c r="C421" s="2"/>
      <c r="D421" s="2"/>
      <c r="E421" s="2"/>
      <c r="F421" s="2"/>
    </row>
    <row r="422" spans="1:6" ht="15.75" customHeight="1">
      <c r="A422" s="2"/>
      <c r="B422" s="2"/>
      <c r="C422" s="2"/>
      <c r="D422" s="2"/>
      <c r="E422" s="2"/>
      <c r="F422" s="2"/>
    </row>
    <row r="423" spans="1:6" ht="15.75" customHeight="1">
      <c r="A423" s="2"/>
      <c r="B423" s="2"/>
      <c r="C423" s="2"/>
      <c r="D423" s="2"/>
      <c r="E423" s="2"/>
      <c r="F423" s="2"/>
    </row>
    <row r="424" spans="1:6" ht="15.75" customHeight="1">
      <c r="A424" s="2"/>
      <c r="B424" s="2"/>
      <c r="C424" s="2"/>
      <c r="D424" s="2"/>
      <c r="E424" s="2"/>
      <c r="F424" s="2"/>
    </row>
    <row r="425" spans="1:6" ht="15.75" customHeight="1">
      <c r="A425" s="2"/>
      <c r="B425" s="2"/>
      <c r="C425" s="2"/>
      <c r="D425" s="2"/>
      <c r="E425" s="2"/>
      <c r="F425" s="2"/>
    </row>
    <row r="426" spans="1:6" ht="15.75" customHeight="1">
      <c r="A426" s="2"/>
      <c r="B426" s="2"/>
      <c r="C426" s="2"/>
      <c r="D426" s="2"/>
      <c r="E426" s="2"/>
      <c r="F426" s="2"/>
    </row>
    <row r="427" spans="1:6" ht="15.75" customHeight="1">
      <c r="A427" s="2"/>
      <c r="B427" s="2"/>
      <c r="C427" s="2"/>
      <c r="D427" s="2"/>
      <c r="E427" s="2"/>
      <c r="F427" s="2"/>
    </row>
    <row r="428" spans="1:6" ht="15.75" customHeight="1">
      <c r="A428" s="2"/>
      <c r="B428" s="2"/>
      <c r="C428" s="2"/>
      <c r="D428" s="2"/>
      <c r="E428" s="2"/>
      <c r="F428" s="2"/>
    </row>
    <row r="429" spans="1:6" ht="15.75" customHeight="1">
      <c r="A429" s="2"/>
      <c r="B429" s="2"/>
      <c r="C429" s="2"/>
      <c r="D429" s="2"/>
      <c r="E429" s="2"/>
      <c r="F429" s="2"/>
    </row>
    <row r="430" spans="1:6" ht="15.75" customHeight="1">
      <c r="A430" s="2"/>
      <c r="B430" s="2"/>
      <c r="C430" s="2"/>
      <c r="D430" s="2"/>
      <c r="E430" s="2"/>
      <c r="F430" s="2"/>
    </row>
    <row r="431" spans="1:6" ht="15.75" customHeight="1">
      <c r="A431" s="2"/>
      <c r="B431" s="2"/>
      <c r="C431" s="2"/>
      <c r="D431" s="2"/>
      <c r="E431" s="2"/>
      <c r="F431" s="2"/>
    </row>
    <row r="432" spans="1:6" ht="15.75" customHeight="1">
      <c r="A432" s="2"/>
      <c r="B432" s="2"/>
      <c r="C432" s="2"/>
      <c r="D432" s="2"/>
      <c r="E432" s="2"/>
      <c r="F432" s="2"/>
    </row>
    <row r="433" spans="1:6" ht="15.75" customHeight="1">
      <c r="A433" s="2"/>
      <c r="B433" s="2"/>
      <c r="C433" s="2"/>
      <c r="D433" s="2"/>
      <c r="E433" s="2"/>
      <c r="F433" s="2"/>
    </row>
    <row r="434" spans="1:6" ht="15.75" customHeight="1">
      <c r="A434" s="2"/>
      <c r="B434" s="2"/>
      <c r="C434" s="2"/>
      <c r="D434" s="2"/>
      <c r="E434" s="2"/>
      <c r="F434" s="2"/>
    </row>
    <row r="435" spans="1:6" ht="15.75" customHeight="1">
      <c r="A435" s="2"/>
      <c r="B435" s="2"/>
      <c r="C435" s="2"/>
      <c r="D435" s="2"/>
      <c r="E435" s="2"/>
      <c r="F435" s="2"/>
    </row>
    <row r="436" spans="1:6" ht="15.75" customHeight="1">
      <c r="A436" s="2"/>
      <c r="B436" s="2"/>
      <c r="C436" s="2"/>
      <c r="D436" s="2"/>
      <c r="E436" s="2"/>
      <c r="F436" s="2"/>
    </row>
    <row r="437" spans="1:6" ht="15.75" customHeight="1">
      <c r="A437" s="2"/>
      <c r="B437" s="2"/>
      <c r="C437" s="2"/>
      <c r="D437" s="2"/>
      <c r="E437" s="2"/>
      <c r="F437" s="2"/>
    </row>
    <row r="438" spans="1:6" ht="15.75" customHeight="1">
      <c r="A438" s="2"/>
      <c r="B438" s="2"/>
      <c r="C438" s="2"/>
      <c r="D438" s="2"/>
      <c r="E438" s="2"/>
      <c r="F438" s="2"/>
    </row>
    <row r="439" spans="1:6" ht="15.75" customHeight="1">
      <c r="A439" s="2"/>
      <c r="B439" s="2"/>
      <c r="C439" s="2"/>
      <c r="D439" s="2"/>
      <c r="E439" s="2"/>
      <c r="F439" s="2"/>
    </row>
    <row r="440" spans="1:6" ht="15.75" customHeight="1">
      <c r="A440" s="2"/>
      <c r="B440" s="2"/>
      <c r="C440" s="2"/>
      <c r="D440" s="2"/>
      <c r="E440" s="2"/>
      <c r="F440" s="2"/>
    </row>
    <row r="441" spans="1:6" ht="15.75" customHeight="1">
      <c r="A441" s="2"/>
      <c r="B441" s="2"/>
      <c r="C441" s="2"/>
      <c r="D441" s="2"/>
      <c r="E441" s="2"/>
      <c r="F441" s="2"/>
    </row>
    <row r="442" spans="1:6" ht="15.75" customHeight="1">
      <c r="A442" s="2"/>
      <c r="B442" s="2"/>
      <c r="C442" s="2"/>
      <c r="D442" s="2"/>
      <c r="E442" s="2"/>
      <c r="F442" s="2"/>
    </row>
    <row r="443" spans="1:6" ht="15.75" customHeight="1">
      <c r="A443" s="2"/>
      <c r="B443" s="2"/>
      <c r="C443" s="2"/>
      <c r="D443" s="2"/>
      <c r="E443" s="2"/>
      <c r="F443" s="2"/>
    </row>
    <row r="444" spans="1:6" ht="15.75" customHeight="1">
      <c r="A444" s="2"/>
      <c r="B444" s="2"/>
      <c r="C444" s="2"/>
      <c r="D444" s="2"/>
      <c r="E444" s="2"/>
      <c r="F444" s="2"/>
    </row>
    <row r="445" spans="1:6" ht="15.75" customHeight="1">
      <c r="A445" s="2"/>
      <c r="B445" s="2"/>
      <c r="C445" s="2"/>
      <c r="D445" s="2"/>
      <c r="E445" s="2"/>
      <c r="F445" s="2"/>
    </row>
    <row r="446" spans="1:6" ht="15.75" customHeight="1">
      <c r="A446" s="2"/>
      <c r="B446" s="2"/>
      <c r="C446" s="2"/>
      <c r="D446" s="2"/>
      <c r="E446" s="2"/>
      <c r="F446" s="2"/>
    </row>
    <row r="447" spans="1:6" ht="15.75" customHeight="1">
      <c r="A447" s="2"/>
      <c r="B447" s="2"/>
      <c r="C447" s="2"/>
      <c r="D447" s="2"/>
      <c r="E447" s="2"/>
      <c r="F447" s="2"/>
    </row>
    <row r="448" spans="1:6" ht="15.75" customHeight="1">
      <c r="A448" s="2"/>
      <c r="B448" s="2"/>
      <c r="C448" s="2"/>
      <c r="D448" s="2"/>
      <c r="E448" s="2"/>
      <c r="F448" s="2"/>
    </row>
    <row r="449" spans="1:6" ht="15.75" customHeight="1">
      <c r="A449" s="2"/>
      <c r="B449" s="2"/>
      <c r="C449" s="2"/>
      <c r="D449" s="2"/>
      <c r="E449" s="2"/>
      <c r="F449" s="2"/>
    </row>
    <row r="450" spans="1:6" ht="15.75" customHeight="1">
      <c r="A450" s="2"/>
      <c r="B450" s="2"/>
      <c r="C450" s="2"/>
      <c r="D450" s="2"/>
      <c r="E450" s="2"/>
      <c r="F450" s="2"/>
    </row>
    <row r="451" spans="1:6" ht="15.75" customHeight="1">
      <c r="A451" s="2"/>
      <c r="B451" s="2"/>
      <c r="C451" s="2"/>
      <c r="D451" s="2"/>
      <c r="E451" s="2"/>
      <c r="F451" s="2"/>
    </row>
    <row r="452" spans="1:6" ht="15.75" customHeight="1">
      <c r="A452" s="2"/>
      <c r="B452" s="2"/>
      <c r="C452" s="2"/>
      <c r="D452" s="2"/>
      <c r="E452" s="2"/>
      <c r="F452" s="2"/>
    </row>
    <row r="453" spans="1:6" ht="15.75" customHeight="1">
      <c r="A453" s="2"/>
      <c r="B453" s="2"/>
      <c r="C453" s="2"/>
      <c r="D453" s="2"/>
      <c r="E453" s="2"/>
      <c r="F453" s="2"/>
    </row>
    <row r="454" spans="1:6" ht="15.75" customHeight="1">
      <c r="A454" s="2"/>
      <c r="B454" s="2"/>
      <c r="C454" s="2"/>
      <c r="D454" s="2"/>
      <c r="E454" s="2"/>
      <c r="F454" s="2"/>
    </row>
    <row r="455" spans="1:6" ht="15.75" customHeight="1">
      <c r="A455" s="2"/>
      <c r="B455" s="2"/>
      <c r="C455" s="2"/>
      <c r="D455" s="2"/>
      <c r="E455" s="2"/>
      <c r="F455" s="2"/>
    </row>
    <row r="456" spans="1:6" ht="15.75" customHeight="1">
      <c r="A456" s="2"/>
      <c r="B456" s="2"/>
      <c r="C456" s="2"/>
      <c r="D456" s="2"/>
      <c r="E456" s="2"/>
      <c r="F456" s="2"/>
    </row>
    <row r="457" spans="1:6" ht="15.75" customHeight="1">
      <c r="A457" s="2"/>
      <c r="B457" s="2"/>
      <c r="C457" s="2"/>
      <c r="D457" s="2"/>
      <c r="E457" s="2"/>
      <c r="F457" s="2"/>
    </row>
    <row r="458" spans="1:6" ht="15.75" customHeight="1">
      <c r="A458" s="2"/>
      <c r="B458" s="2"/>
      <c r="C458" s="2"/>
      <c r="D458" s="2"/>
      <c r="E458" s="2"/>
      <c r="F458" s="2"/>
    </row>
    <row r="459" spans="1:6" ht="15.75" customHeight="1">
      <c r="A459" s="2"/>
      <c r="B459" s="2"/>
      <c r="C459" s="2"/>
      <c r="D459" s="2"/>
      <c r="E459" s="2"/>
      <c r="F459" s="2"/>
    </row>
    <row r="460" spans="1:6" ht="15.75" customHeight="1">
      <c r="A460" s="2"/>
      <c r="B460" s="2"/>
      <c r="C460" s="2"/>
      <c r="D460" s="2"/>
      <c r="E460" s="2"/>
      <c r="F460" s="2"/>
    </row>
    <row r="461" spans="1:6" ht="15.75" customHeight="1">
      <c r="A461" s="2"/>
      <c r="B461" s="2"/>
      <c r="C461" s="2"/>
      <c r="D461" s="2"/>
      <c r="E461" s="2"/>
      <c r="F461" s="2"/>
    </row>
    <row r="462" spans="1:6" ht="15.75" customHeight="1">
      <c r="A462" s="2"/>
      <c r="B462" s="2"/>
      <c r="C462" s="2"/>
      <c r="D462" s="2"/>
      <c r="E462" s="2"/>
      <c r="F462" s="2"/>
    </row>
    <row r="463" spans="1:6" ht="15.75" customHeight="1">
      <c r="A463" s="2"/>
      <c r="B463" s="2"/>
      <c r="C463" s="2"/>
      <c r="D463" s="2"/>
      <c r="E463" s="2"/>
      <c r="F463" s="2"/>
    </row>
    <row r="464" spans="1:6" ht="15.75" customHeight="1">
      <c r="A464" s="2"/>
      <c r="B464" s="2"/>
      <c r="C464" s="2"/>
      <c r="D464" s="2"/>
      <c r="E464" s="2"/>
      <c r="F464" s="2"/>
    </row>
    <row r="465" spans="1:6" ht="15.75" customHeight="1">
      <c r="A465" s="2"/>
      <c r="B465" s="2"/>
      <c r="C465" s="2"/>
      <c r="D465" s="2"/>
      <c r="E465" s="2"/>
      <c r="F465" s="2"/>
    </row>
    <row r="466" spans="1:6" ht="15.75" customHeight="1">
      <c r="A466" s="2"/>
      <c r="B466" s="2"/>
      <c r="C466" s="2"/>
      <c r="D466" s="2"/>
      <c r="E466" s="2"/>
      <c r="F466" s="2"/>
    </row>
    <row r="467" spans="1:6" ht="15.75" customHeight="1">
      <c r="A467" s="2"/>
      <c r="B467" s="2"/>
      <c r="C467" s="2"/>
      <c r="D467" s="2"/>
      <c r="E467" s="2"/>
      <c r="F467" s="2"/>
    </row>
    <row r="468" spans="1:6" ht="15.75" customHeight="1">
      <c r="A468" s="2"/>
      <c r="B468" s="2"/>
      <c r="C468" s="2"/>
      <c r="D468" s="2"/>
      <c r="E468" s="2"/>
      <c r="F468" s="2"/>
    </row>
    <row r="469" spans="1:6" ht="15.75" customHeight="1">
      <c r="A469" s="2"/>
      <c r="B469" s="2"/>
      <c r="C469" s="2"/>
      <c r="D469" s="2"/>
      <c r="E469" s="2"/>
      <c r="F469" s="2"/>
    </row>
    <row r="470" spans="1:6" ht="15.75" customHeight="1">
      <c r="A470" s="2"/>
      <c r="B470" s="2"/>
      <c r="C470" s="2"/>
      <c r="D470" s="2"/>
      <c r="E470" s="2"/>
      <c r="F470" s="2"/>
    </row>
    <row r="471" spans="1:6" ht="15.75" customHeight="1">
      <c r="A471" s="2"/>
      <c r="B471" s="2"/>
      <c r="C471" s="2"/>
      <c r="D471" s="2"/>
      <c r="E471" s="2"/>
      <c r="F471" s="2"/>
    </row>
    <row r="472" spans="1:6" ht="15.75" customHeight="1">
      <c r="A472" s="2"/>
      <c r="B472" s="2"/>
      <c r="C472" s="2"/>
      <c r="D472" s="2"/>
      <c r="E472" s="2"/>
      <c r="F472" s="2"/>
    </row>
    <row r="473" spans="1:6" ht="15.75" customHeight="1">
      <c r="A473" s="2"/>
      <c r="B473" s="2"/>
      <c r="C473" s="2"/>
      <c r="D473" s="2"/>
      <c r="E473" s="2"/>
      <c r="F473" s="2"/>
    </row>
    <row r="474" spans="1:6" ht="15.75" customHeight="1">
      <c r="A474" s="2"/>
      <c r="B474" s="2"/>
      <c r="C474" s="2"/>
      <c r="D474" s="2"/>
      <c r="E474" s="2"/>
      <c r="F474" s="2"/>
    </row>
    <row r="475" spans="1:6" ht="15.75" customHeight="1">
      <c r="A475" s="2"/>
      <c r="B475" s="2"/>
      <c r="C475" s="2"/>
      <c r="D475" s="2"/>
      <c r="E475" s="2"/>
      <c r="F475" s="2"/>
    </row>
    <row r="476" spans="1:6" ht="15.75" customHeight="1">
      <c r="A476" s="2"/>
      <c r="B476" s="2"/>
      <c r="C476" s="2"/>
      <c r="D476" s="2"/>
      <c r="E476" s="2"/>
      <c r="F476" s="2"/>
    </row>
    <row r="477" spans="1:6" ht="15.75" customHeight="1">
      <c r="A477" s="2"/>
      <c r="B477" s="2"/>
      <c r="C477" s="2"/>
      <c r="D477" s="2"/>
      <c r="E477" s="2"/>
      <c r="F477" s="2"/>
    </row>
    <row r="478" spans="1:6" ht="15.75" customHeight="1">
      <c r="A478" s="2"/>
      <c r="B478" s="2"/>
      <c r="C478" s="2"/>
      <c r="D478" s="2"/>
      <c r="E478" s="2"/>
      <c r="F478" s="2"/>
    </row>
    <row r="479" spans="1:6" ht="15.75" customHeight="1">
      <c r="A479" s="2"/>
      <c r="B479" s="2"/>
      <c r="C479" s="2"/>
      <c r="D479" s="2"/>
      <c r="E479" s="2"/>
      <c r="F479" s="2"/>
    </row>
    <row r="480" spans="1:6" ht="15.75" customHeight="1">
      <c r="A480" s="2"/>
      <c r="B480" s="2"/>
      <c r="C480" s="2"/>
      <c r="D480" s="2"/>
      <c r="E480" s="2"/>
      <c r="F480" s="2"/>
    </row>
    <row r="481" spans="1:6" ht="15.75" customHeight="1">
      <c r="A481" s="2"/>
      <c r="B481" s="2"/>
      <c r="C481" s="2"/>
      <c r="D481" s="2"/>
      <c r="E481" s="2"/>
      <c r="F481" s="2"/>
    </row>
    <row r="482" spans="1:6" ht="15.75" customHeight="1">
      <c r="A482" s="2"/>
      <c r="B482" s="2"/>
      <c r="C482" s="2"/>
      <c r="D482" s="2"/>
      <c r="E482" s="2"/>
      <c r="F482" s="2"/>
    </row>
    <row r="483" spans="1:6" ht="15.75" customHeight="1">
      <c r="A483" s="2"/>
      <c r="B483" s="2"/>
      <c r="C483" s="2"/>
      <c r="D483" s="2"/>
      <c r="E483" s="2"/>
      <c r="F483" s="2"/>
    </row>
    <row r="484" spans="1:6" ht="15.75" customHeight="1">
      <c r="A484" s="2"/>
      <c r="B484" s="2"/>
      <c r="C484" s="2"/>
      <c r="D484" s="2"/>
      <c r="E484" s="2"/>
      <c r="F484" s="2"/>
    </row>
    <row r="485" spans="1:6" ht="15.75" customHeight="1">
      <c r="A485" s="2"/>
      <c r="B485" s="2"/>
      <c r="C485" s="2"/>
      <c r="D485" s="2"/>
      <c r="E485" s="2"/>
      <c r="F485" s="2"/>
    </row>
    <row r="486" spans="1:6" ht="15.75" customHeight="1">
      <c r="A486" s="2"/>
      <c r="B486" s="2"/>
      <c r="C486" s="2"/>
      <c r="D486" s="2"/>
      <c r="E486" s="2"/>
      <c r="F486" s="2"/>
    </row>
    <row r="487" spans="1:6" ht="15.75" customHeight="1">
      <c r="A487" s="2"/>
      <c r="B487" s="2"/>
      <c r="C487" s="2"/>
      <c r="D487" s="2"/>
      <c r="E487" s="2"/>
      <c r="F487" s="2"/>
    </row>
    <row r="488" spans="1:6" ht="15.75" customHeight="1">
      <c r="A488" s="2"/>
      <c r="B488" s="2"/>
      <c r="C488" s="2"/>
      <c r="D488" s="2"/>
      <c r="E488" s="2"/>
      <c r="F488" s="2"/>
    </row>
    <row r="489" spans="1:6" ht="15.75" customHeight="1">
      <c r="A489" s="2"/>
      <c r="B489" s="2"/>
      <c r="C489" s="2"/>
      <c r="D489" s="2"/>
      <c r="E489" s="2"/>
      <c r="F489" s="2"/>
    </row>
    <row r="490" spans="1:6" ht="15.75" customHeight="1">
      <c r="A490" s="2"/>
      <c r="B490" s="2"/>
      <c r="C490" s="2"/>
      <c r="D490" s="2"/>
      <c r="E490" s="2"/>
      <c r="F490" s="2"/>
    </row>
    <row r="491" spans="1:6" ht="15.75" customHeight="1">
      <c r="A491" s="2"/>
      <c r="B491" s="2"/>
      <c r="C491" s="2"/>
      <c r="D491" s="2"/>
      <c r="E491" s="2"/>
      <c r="F491" s="2"/>
    </row>
    <row r="492" spans="1:6" ht="15.75" customHeight="1">
      <c r="A492" s="2"/>
      <c r="B492" s="2"/>
      <c r="C492" s="2"/>
      <c r="D492" s="2"/>
      <c r="E492" s="2"/>
      <c r="F492" s="2"/>
    </row>
    <row r="493" spans="1:6" ht="15.75" customHeight="1">
      <c r="A493" s="2"/>
      <c r="B493" s="2"/>
      <c r="C493" s="2"/>
      <c r="D493" s="2"/>
      <c r="E493" s="2"/>
      <c r="F493" s="2"/>
    </row>
    <row r="494" spans="1:6" ht="15.75" customHeight="1">
      <c r="A494" s="2"/>
      <c r="B494" s="2"/>
      <c r="C494" s="2"/>
      <c r="D494" s="2"/>
      <c r="E494" s="2"/>
      <c r="F494" s="2"/>
    </row>
    <row r="495" spans="1:6" ht="15.75" customHeight="1">
      <c r="A495" s="2"/>
      <c r="B495" s="2"/>
      <c r="C495" s="2"/>
      <c r="D495" s="2"/>
      <c r="E495" s="2"/>
      <c r="F495" s="2"/>
    </row>
    <row r="496" spans="1:6" ht="15.75" customHeight="1">
      <c r="A496" s="2"/>
      <c r="B496" s="2"/>
      <c r="C496" s="2"/>
      <c r="D496" s="2"/>
      <c r="E496" s="2"/>
      <c r="F496" s="2"/>
    </row>
    <row r="497" spans="1:6" ht="15.75" customHeight="1">
      <c r="A497" s="2"/>
      <c r="B497" s="2"/>
      <c r="C497" s="2"/>
      <c r="D497" s="2"/>
      <c r="E497" s="2"/>
      <c r="F497" s="2"/>
    </row>
    <row r="498" spans="1:6" ht="15.75" customHeight="1">
      <c r="A498" s="2"/>
      <c r="B498" s="2"/>
      <c r="C498" s="2"/>
      <c r="D498" s="2"/>
      <c r="E498" s="2"/>
      <c r="F498" s="2"/>
    </row>
    <row r="499" spans="1:6" ht="15.75" customHeight="1">
      <c r="A499" s="2"/>
      <c r="B499" s="2"/>
      <c r="C499" s="2"/>
      <c r="D499" s="2"/>
      <c r="E499" s="2"/>
      <c r="F499" s="2"/>
    </row>
    <row r="500" spans="1:6" ht="15.75" customHeight="1">
      <c r="A500" s="2"/>
      <c r="B500" s="2"/>
      <c r="C500" s="2"/>
      <c r="D500" s="2"/>
      <c r="E500" s="2"/>
      <c r="F500" s="2"/>
    </row>
    <row r="501" spans="1:6" ht="15.75" customHeight="1">
      <c r="A501" s="2"/>
      <c r="B501" s="2"/>
      <c r="C501" s="2"/>
      <c r="D501" s="2"/>
      <c r="E501" s="2"/>
      <c r="F501" s="2"/>
    </row>
    <row r="502" spans="1:6" ht="15.75" customHeight="1">
      <c r="A502" s="2"/>
      <c r="B502" s="2"/>
      <c r="C502" s="2"/>
      <c r="D502" s="2"/>
      <c r="E502" s="2"/>
      <c r="F502" s="2"/>
    </row>
    <row r="503" spans="1:6" ht="15.75" customHeight="1">
      <c r="A503" s="2"/>
      <c r="B503" s="2"/>
      <c r="C503" s="2"/>
      <c r="D503" s="2"/>
      <c r="E503" s="2"/>
      <c r="F503" s="2"/>
    </row>
    <row r="504" spans="1:6" ht="15.75" customHeight="1">
      <c r="A504" s="2"/>
      <c r="B504" s="2"/>
      <c r="C504" s="2"/>
      <c r="D504" s="2"/>
      <c r="E504" s="2"/>
      <c r="F504" s="2"/>
    </row>
    <row r="505" spans="1:6" ht="15.75" customHeight="1">
      <c r="A505" s="2"/>
      <c r="B505" s="2"/>
      <c r="C505" s="2"/>
      <c r="D505" s="2"/>
      <c r="E505" s="2"/>
      <c r="F505" s="2"/>
    </row>
    <row r="506" spans="1:6" ht="15.75" customHeight="1">
      <c r="A506" s="2"/>
      <c r="B506" s="2"/>
      <c r="C506" s="2"/>
      <c r="D506" s="2"/>
      <c r="E506" s="2"/>
      <c r="F506" s="2"/>
    </row>
    <row r="507" spans="1:6" ht="15.75" customHeight="1">
      <c r="A507" s="2"/>
      <c r="B507" s="2"/>
      <c r="C507" s="2"/>
      <c r="D507" s="2"/>
      <c r="E507" s="2"/>
      <c r="F507" s="2"/>
    </row>
    <row r="508" spans="1:6" ht="15.75" customHeight="1">
      <c r="A508" s="2"/>
      <c r="B508" s="2"/>
      <c r="C508" s="2"/>
      <c r="D508" s="2"/>
      <c r="E508" s="2"/>
      <c r="F508" s="2"/>
    </row>
    <row r="509" spans="1:6" ht="15.75" customHeight="1">
      <c r="A509" s="2"/>
      <c r="B509" s="2"/>
      <c r="C509" s="2"/>
      <c r="D509" s="2"/>
      <c r="E509" s="2"/>
      <c r="F509" s="2"/>
    </row>
    <row r="510" spans="1:6" ht="15.75" customHeight="1">
      <c r="A510" s="2"/>
      <c r="B510" s="2"/>
      <c r="C510" s="2"/>
      <c r="D510" s="2"/>
      <c r="E510" s="2"/>
      <c r="F510" s="2"/>
    </row>
    <row r="511" spans="1:6" ht="15.75" customHeight="1">
      <c r="A511" s="2"/>
      <c r="B511" s="2"/>
      <c r="C511" s="2"/>
      <c r="D511" s="2"/>
      <c r="E511" s="2"/>
      <c r="F511" s="2"/>
    </row>
    <row r="512" spans="1:6" ht="15.75" customHeight="1">
      <c r="A512" s="2"/>
      <c r="B512" s="2"/>
      <c r="C512" s="2"/>
      <c r="D512" s="2"/>
      <c r="E512" s="2"/>
      <c r="F512" s="2"/>
    </row>
    <row r="513" spans="1:6" ht="15.75" customHeight="1">
      <c r="A513" s="2"/>
      <c r="B513" s="2"/>
      <c r="C513" s="2"/>
      <c r="D513" s="2"/>
      <c r="E513" s="2"/>
      <c r="F513" s="2"/>
    </row>
    <row r="514" spans="1:6" ht="15.75" customHeight="1">
      <c r="A514" s="2"/>
      <c r="B514" s="2"/>
      <c r="C514" s="2"/>
      <c r="D514" s="2"/>
      <c r="E514" s="2"/>
      <c r="F514" s="2"/>
    </row>
    <row r="515" spans="1:6" ht="15.75" customHeight="1">
      <c r="A515" s="2"/>
      <c r="B515" s="2"/>
      <c r="C515" s="2"/>
      <c r="D515" s="2"/>
      <c r="E515" s="2"/>
      <c r="F515" s="2"/>
    </row>
    <row r="516" spans="1:6" ht="15.75" customHeight="1">
      <c r="A516" s="2"/>
      <c r="B516" s="2"/>
      <c r="C516" s="2"/>
      <c r="D516" s="2"/>
      <c r="E516" s="2"/>
      <c r="F516" s="2"/>
    </row>
    <row r="517" spans="1:6" ht="15.75" customHeight="1">
      <c r="A517" s="2"/>
      <c r="B517" s="2"/>
      <c r="C517" s="2"/>
      <c r="D517" s="2"/>
      <c r="E517" s="2"/>
      <c r="F517" s="2"/>
    </row>
    <row r="518" spans="1:6" ht="15.75" customHeight="1">
      <c r="A518" s="2"/>
      <c r="B518" s="2"/>
      <c r="C518" s="2"/>
      <c r="D518" s="2"/>
      <c r="E518" s="2"/>
      <c r="F518" s="2"/>
    </row>
    <row r="519" spans="1:6" ht="15.75" customHeight="1">
      <c r="A519" s="2"/>
      <c r="B519" s="2"/>
      <c r="C519" s="2"/>
      <c r="D519" s="2"/>
      <c r="E519" s="2"/>
      <c r="F519" s="2"/>
    </row>
    <row r="520" spans="1:6" ht="15.75" customHeight="1">
      <c r="A520" s="2"/>
      <c r="B520" s="2"/>
      <c r="C520" s="2"/>
      <c r="D520" s="2"/>
      <c r="E520" s="2"/>
      <c r="F520" s="2"/>
    </row>
    <row r="521" spans="1:6" ht="15.75" customHeight="1">
      <c r="A521" s="2"/>
      <c r="B521" s="2"/>
      <c r="C521" s="2"/>
      <c r="D521" s="2"/>
      <c r="E521" s="2"/>
      <c r="F521" s="2"/>
    </row>
    <row r="522" spans="1:6" ht="15.75" customHeight="1">
      <c r="A522" s="2"/>
      <c r="B522" s="2"/>
      <c r="C522" s="2"/>
      <c r="D522" s="2"/>
      <c r="E522" s="2"/>
      <c r="F522" s="2"/>
    </row>
    <row r="523" spans="1:6" ht="15.75" customHeight="1">
      <c r="A523" s="2"/>
      <c r="B523" s="2"/>
      <c r="C523" s="2"/>
      <c r="D523" s="2"/>
      <c r="E523" s="2"/>
      <c r="F523" s="2"/>
    </row>
    <row r="524" spans="1:6" ht="15.75" customHeight="1">
      <c r="A524" s="2"/>
      <c r="B524" s="2"/>
      <c r="C524" s="2"/>
      <c r="D524" s="2"/>
      <c r="E524" s="2"/>
      <c r="F524" s="2"/>
    </row>
    <row r="525" spans="1:6" ht="15.75" customHeight="1">
      <c r="A525" s="2"/>
      <c r="B525" s="2"/>
      <c r="C525" s="2"/>
      <c r="D525" s="2"/>
      <c r="E525" s="2"/>
      <c r="F525" s="2"/>
    </row>
    <row r="526" spans="1:6" ht="15.75" customHeight="1">
      <c r="A526" s="2"/>
      <c r="B526" s="2"/>
      <c r="C526" s="2"/>
      <c r="D526" s="2"/>
      <c r="E526" s="2"/>
      <c r="F526" s="2"/>
    </row>
    <row r="527" spans="1:6" ht="15.75" customHeight="1">
      <c r="A527" s="2"/>
      <c r="B527" s="2"/>
      <c r="C527" s="2"/>
      <c r="D527" s="2"/>
      <c r="E527" s="2"/>
      <c r="F527" s="2"/>
    </row>
    <row r="528" spans="1:6" ht="15.75" customHeight="1">
      <c r="A528" s="2"/>
      <c r="B528" s="2"/>
      <c r="C528" s="2"/>
      <c r="D528" s="2"/>
      <c r="E528" s="2"/>
      <c r="F528" s="2"/>
    </row>
    <row r="529" spans="1:6" ht="15.75" customHeight="1">
      <c r="A529" s="2"/>
      <c r="B529" s="2"/>
      <c r="C529" s="2"/>
      <c r="D529" s="2"/>
      <c r="E529" s="2"/>
      <c r="F529" s="2"/>
    </row>
    <row r="530" spans="1:6" ht="15.75" customHeight="1">
      <c r="A530" s="2"/>
      <c r="B530" s="2"/>
      <c r="C530" s="2"/>
      <c r="D530" s="2"/>
      <c r="E530" s="2"/>
      <c r="F530" s="2"/>
    </row>
    <row r="531" spans="1:6" ht="15.75" customHeight="1">
      <c r="A531" s="2"/>
      <c r="B531" s="2"/>
      <c r="C531" s="2"/>
      <c r="D531" s="2"/>
      <c r="E531" s="2"/>
      <c r="F531" s="2"/>
    </row>
    <row r="532" spans="1:6" ht="15.75" customHeight="1">
      <c r="A532" s="2"/>
      <c r="B532" s="2"/>
      <c r="C532" s="2"/>
      <c r="D532" s="2"/>
      <c r="E532" s="2"/>
      <c r="F532" s="2"/>
    </row>
    <row r="533" spans="1:6" ht="15.75" customHeight="1">
      <c r="A533" s="2"/>
      <c r="B533" s="2"/>
      <c r="C533" s="2"/>
      <c r="D533" s="2"/>
      <c r="E533" s="2"/>
      <c r="F533" s="2"/>
    </row>
    <row r="534" spans="1:6" ht="15.75" customHeight="1">
      <c r="A534" s="2"/>
      <c r="B534" s="2"/>
      <c r="C534" s="2"/>
      <c r="D534" s="2"/>
      <c r="E534" s="2"/>
      <c r="F534" s="2"/>
    </row>
    <row r="535" spans="1:6" ht="15.75" customHeight="1">
      <c r="A535" s="2"/>
      <c r="B535" s="2"/>
      <c r="C535" s="2"/>
      <c r="D535" s="2"/>
      <c r="E535" s="2"/>
      <c r="F535" s="2"/>
    </row>
    <row r="536" spans="1:6" ht="15.75" customHeight="1">
      <c r="A536" s="2"/>
      <c r="B536" s="2"/>
      <c r="C536" s="2"/>
      <c r="D536" s="2"/>
      <c r="E536" s="2"/>
      <c r="F536" s="2"/>
    </row>
    <row r="537" spans="1:6" ht="15.75" customHeight="1">
      <c r="A537" s="2"/>
      <c r="B537" s="2"/>
      <c r="C537" s="2"/>
      <c r="D537" s="2"/>
      <c r="E537" s="2"/>
      <c r="F537" s="2"/>
    </row>
    <row r="538" spans="1:6" ht="15.75" customHeight="1">
      <c r="A538" s="2"/>
      <c r="B538" s="2"/>
      <c r="C538" s="2"/>
      <c r="D538" s="2"/>
      <c r="E538" s="2"/>
      <c r="F538" s="2"/>
    </row>
    <row r="539" spans="1:6" ht="15.75" customHeight="1">
      <c r="A539" s="2"/>
      <c r="B539" s="2"/>
      <c r="C539" s="2"/>
      <c r="D539" s="2"/>
      <c r="E539" s="2"/>
      <c r="F539" s="2"/>
    </row>
    <row r="540" spans="1:6" ht="15.75" customHeight="1">
      <c r="A540" s="2"/>
      <c r="B540" s="2"/>
      <c r="C540" s="2"/>
      <c r="D540" s="2"/>
      <c r="E540" s="2"/>
      <c r="F540" s="2"/>
    </row>
    <row r="541" spans="1:6" ht="15.75" customHeight="1">
      <c r="A541" s="2"/>
      <c r="B541" s="2"/>
      <c r="C541" s="2"/>
      <c r="D541" s="2"/>
      <c r="E541" s="2"/>
      <c r="F541" s="2"/>
    </row>
    <row r="542" spans="1:6" ht="15.75" customHeight="1">
      <c r="A542" s="2"/>
      <c r="B542" s="2"/>
      <c r="C542" s="2"/>
      <c r="D542" s="2"/>
      <c r="E542" s="2"/>
      <c r="F542" s="2"/>
    </row>
    <row r="543" spans="1:6" ht="15.75" customHeight="1">
      <c r="A543" s="2"/>
      <c r="B543" s="2"/>
      <c r="C543" s="2"/>
      <c r="D543" s="2"/>
      <c r="E543" s="2"/>
      <c r="F543" s="2"/>
    </row>
    <row r="544" spans="1:6" ht="15.75" customHeight="1">
      <c r="A544" s="2"/>
      <c r="B544" s="2"/>
      <c r="C544" s="2"/>
      <c r="D544" s="2"/>
      <c r="E544" s="2"/>
      <c r="F544" s="2"/>
    </row>
    <row r="545" spans="1:6" ht="15.75" customHeight="1">
      <c r="A545" s="2"/>
      <c r="B545" s="2"/>
      <c r="C545" s="2"/>
      <c r="D545" s="2"/>
      <c r="E545" s="2"/>
      <c r="F545" s="2"/>
    </row>
    <row r="546" spans="1:6" ht="15.75" customHeight="1">
      <c r="A546" s="2"/>
      <c r="B546" s="2"/>
      <c r="C546" s="2"/>
      <c r="D546" s="2"/>
      <c r="E546" s="2"/>
      <c r="F546" s="2"/>
    </row>
    <row r="547" spans="1:6" ht="15.75" customHeight="1">
      <c r="A547" s="2"/>
      <c r="B547" s="2"/>
      <c r="C547" s="2"/>
      <c r="D547" s="2"/>
      <c r="E547" s="2"/>
      <c r="F547" s="2"/>
    </row>
    <row r="548" spans="1:6" ht="15.75" customHeight="1">
      <c r="A548" s="2"/>
      <c r="B548" s="2"/>
      <c r="C548" s="2"/>
      <c r="D548" s="2"/>
      <c r="E548" s="2"/>
      <c r="F548" s="2"/>
    </row>
    <row r="549" spans="1:6" ht="15.75" customHeight="1">
      <c r="A549" s="2"/>
      <c r="B549" s="2"/>
      <c r="C549" s="2"/>
      <c r="D549" s="2"/>
      <c r="E549" s="2"/>
      <c r="F549" s="2"/>
    </row>
    <row r="550" spans="1:6" ht="15.75" customHeight="1">
      <c r="A550" s="2"/>
      <c r="B550" s="2"/>
      <c r="C550" s="2"/>
      <c r="D550" s="2"/>
      <c r="E550" s="2"/>
      <c r="F550" s="2"/>
    </row>
    <row r="551" spans="1:6" ht="15.75" customHeight="1">
      <c r="A551" s="2"/>
      <c r="B551" s="2"/>
      <c r="C551" s="2"/>
      <c r="D551" s="2"/>
      <c r="E551" s="2"/>
      <c r="F551" s="2"/>
    </row>
    <row r="552" spans="1:6" ht="15.75" customHeight="1">
      <c r="A552" s="2"/>
      <c r="B552" s="2"/>
      <c r="C552" s="2"/>
      <c r="D552" s="2"/>
      <c r="E552" s="2"/>
      <c r="F552" s="2"/>
    </row>
    <row r="553" spans="1:6" ht="15.75" customHeight="1">
      <c r="A553" s="2"/>
      <c r="B553" s="2"/>
      <c r="C553" s="2"/>
      <c r="D553" s="2"/>
      <c r="E553" s="2"/>
      <c r="F553" s="2"/>
    </row>
    <row r="554" spans="1:6" ht="15.75" customHeight="1">
      <c r="A554" s="2"/>
      <c r="B554" s="2"/>
      <c r="C554" s="2"/>
      <c r="D554" s="2"/>
      <c r="E554" s="2"/>
      <c r="F554" s="2"/>
    </row>
    <row r="555" spans="1:6" ht="15.75" customHeight="1">
      <c r="A555" s="2"/>
      <c r="B555" s="2"/>
      <c r="C555" s="2"/>
      <c r="D555" s="2"/>
      <c r="E555" s="2"/>
      <c r="F555" s="2"/>
    </row>
    <row r="556" spans="1:6" ht="15.75" customHeight="1">
      <c r="A556" s="2"/>
      <c r="B556" s="2"/>
      <c r="C556" s="2"/>
      <c r="D556" s="2"/>
      <c r="E556" s="2"/>
      <c r="F556" s="2"/>
    </row>
    <row r="557" spans="1:6" ht="15.75" customHeight="1">
      <c r="A557" s="2"/>
      <c r="B557" s="2"/>
      <c r="C557" s="2"/>
      <c r="D557" s="2"/>
      <c r="E557" s="2"/>
      <c r="F557" s="2"/>
    </row>
    <row r="558" spans="1:6" ht="15.75" customHeight="1">
      <c r="A558" s="2"/>
      <c r="B558" s="2"/>
      <c r="C558" s="2"/>
      <c r="D558" s="2"/>
      <c r="E558" s="2"/>
      <c r="F558" s="2"/>
    </row>
    <row r="559" spans="1:6" ht="15.75" customHeight="1">
      <c r="A559" s="2"/>
      <c r="B559" s="2"/>
      <c r="C559" s="2"/>
      <c r="D559" s="2"/>
      <c r="E559" s="2"/>
      <c r="F559" s="2"/>
    </row>
    <row r="560" spans="1:6" ht="15.75" customHeight="1">
      <c r="A560" s="2"/>
      <c r="B560" s="2"/>
      <c r="C560" s="2"/>
      <c r="D560" s="2"/>
      <c r="E560" s="2"/>
      <c r="F560" s="2"/>
    </row>
    <row r="561" spans="1:6" ht="15.75" customHeight="1">
      <c r="A561" s="2"/>
      <c r="B561" s="2"/>
      <c r="C561" s="2"/>
      <c r="D561" s="2"/>
      <c r="E561" s="2"/>
      <c r="F561" s="2"/>
    </row>
    <row r="562" spans="1:6" ht="15.75" customHeight="1">
      <c r="A562" s="2"/>
      <c r="B562" s="2"/>
      <c r="C562" s="2"/>
      <c r="D562" s="2"/>
      <c r="E562" s="2"/>
      <c r="F562" s="2"/>
    </row>
    <row r="563" spans="1:6" ht="15.75" customHeight="1">
      <c r="A563" s="2"/>
      <c r="B563" s="2"/>
      <c r="C563" s="2"/>
      <c r="D563" s="2"/>
      <c r="E563" s="2"/>
      <c r="F563" s="2"/>
    </row>
    <row r="564" spans="1:6" ht="15.75" customHeight="1">
      <c r="A564" s="2"/>
      <c r="B564" s="2"/>
      <c r="C564" s="2"/>
      <c r="D564" s="2"/>
      <c r="E564" s="2"/>
      <c r="F564" s="2"/>
    </row>
    <row r="565" spans="1:6" ht="15.75" customHeight="1">
      <c r="A565" s="2"/>
      <c r="B565" s="2"/>
      <c r="C565" s="2"/>
      <c r="D565" s="2"/>
      <c r="E565" s="2"/>
      <c r="F565" s="2"/>
    </row>
    <row r="566" spans="1:6" ht="15.75" customHeight="1">
      <c r="A566" s="2"/>
      <c r="B566" s="2"/>
      <c r="C566" s="2"/>
      <c r="D566" s="2"/>
      <c r="E566" s="2"/>
      <c r="F566" s="2"/>
    </row>
    <row r="567" spans="1:6" ht="15.75" customHeight="1">
      <c r="A567" s="2"/>
      <c r="B567" s="2"/>
      <c r="C567" s="2"/>
      <c r="D567" s="2"/>
      <c r="E567" s="2"/>
      <c r="F567" s="2"/>
    </row>
    <row r="568" spans="1:6" ht="15.75" customHeight="1">
      <c r="A568" s="2"/>
      <c r="B568" s="2"/>
      <c r="C568" s="2"/>
      <c r="D568" s="2"/>
      <c r="E568" s="2"/>
      <c r="F568" s="2"/>
    </row>
    <row r="569" spans="1:6" ht="15.75" customHeight="1">
      <c r="A569" s="2"/>
      <c r="B569" s="2"/>
      <c r="C569" s="2"/>
      <c r="D569" s="2"/>
      <c r="E569" s="2"/>
      <c r="F569" s="2"/>
    </row>
    <row r="570" spans="1:6" ht="15.75" customHeight="1">
      <c r="A570" s="2"/>
      <c r="B570" s="2"/>
      <c r="C570" s="2"/>
      <c r="D570" s="2"/>
      <c r="E570" s="2"/>
      <c r="F570" s="2"/>
    </row>
    <row r="571" spans="1:6" ht="15.75" customHeight="1">
      <c r="A571" s="2"/>
      <c r="B571" s="2"/>
      <c r="C571" s="2"/>
      <c r="D571" s="2"/>
      <c r="E571" s="2"/>
      <c r="F571" s="2"/>
    </row>
    <row r="572" spans="1:6" ht="15.75" customHeight="1">
      <c r="A572" s="2"/>
      <c r="B572" s="2"/>
      <c r="C572" s="2"/>
      <c r="D572" s="2"/>
      <c r="E572" s="2"/>
      <c r="F572" s="2"/>
    </row>
    <row r="573" spans="1:6" ht="15.75" customHeight="1">
      <c r="A573" s="2"/>
      <c r="B573" s="2"/>
      <c r="C573" s="2"/>
      <c r="D573" s="2"/>
      <c r="E573" s="2"/>
      <c r="F573" s="2"/>
    </row>
    <row r="574" spans="1:6" ht="15.75" customHeight="1">
      <c r="A574" s="2"/>
      <c r="B574" s="2"/>
      <c r="C574" s="2"/>
      <c r="D574" s="2"/>
      <c r="E574" s="2"/>
      <c r="F574" s="2"/>
    </row>
    <row r="575" spans="1:6" ht="15.75" customHeight="1">
      <c r="A575" s="2"/>
      <c r="B575" s="2"/>
      <c r="C575" s="2"/>
      <c r="D575" s="2"/>
      <c r="E575" s="2"/>
      <c r="F575" s="2"/>
    </row>
    <row r="576" spans="1:6" ht="15.75" customHeight="1">
      <c r="A576" s="2"/>
      <c r="B576" s="2"/>
      <c r="C576" s="2"/>
      <c r="D576" s="2"/>
      <c r="E576" s="2"/>
      <c r="F576" s="2"/>
    </row>
    <row r="577" spans="1:6" ht="15.75" customHeight="1">
      <c r="A577" s="2"/>
      <c r="B577" s="2"/>
      <c r="C577" s="2"/>
      <c r="D577" s="2"/>
      <c r="E577" s="2"/>
      <c r="F577" s="2"/>
    </row>
    <row r="578" spans="1:6" ht="15.75" customHeight="1">
      <c r="A578" s="2"/>
      <c r="B578" s="2"/>
      <c r="C578" s="2"/>
      <c r="D578" s="2"/>
      <c r="E578" s="2"/>
      <c r="F578" s="2"/>
    </row>
    <row r="579" spans="1:6" ht="15.75" customHeight="1">
      <c r="A579" s="2"/>
      <c r="B579" s="2"/>
      <c r="C579" s="2"/>
      <c r="D579" s="2"/>
      <c r="E579" s="2"/>
      <c r="F579" s="2"/>
    </row>
    <row r="580" spans="1:6" ht="15.75" customHeight="1">
      <c r="A580" s="2"/>
      <c r="B580" s="2"/>
      <c r="C580" s="2"/>
      <c r="D580" s="2"/>
      <c r="E580" s="2"/>
      <c r="F580" s="2"/>
    </row>
    <row r="581" spans="1:6" ht="15.75" customHeight="1">
      <c r="A581" s="2"/>
      <c r="B581" s="2"/>
      <c r="C581" s="2"/>
      <c r="D581" s="2"/>
      <c r="E581" s="2"/>
      <c r="F581" s="2"/>
    </row>
    <row r="582" spans="1:6" ht="15.75" customHeight="1">
      <c r="A582" s="2"/>
      <c r="B582" s="2"/>
      <c r="C582" s="2"/>
      <c r="D582" s="2"/>
      <c r="E582" s="2"/>
      <c r="F582" s="2"/>
    </row>
    <row r="583" spans="1:6" ht="15.75" customHeight="1">
      <c r="A583" s="2"/>
      <c r="B583" s="2"/>
      <c r="C583" s="2"/>
      <c r="D583" s="2"/>
      <c r="E583" s="2"/>
      <c r="F583" s="2"/>
    </row>
    <row r="584" spans="1:6" ht="15.75" customHeight="1">
      <c r="A584" s="2"/>
      <c r="B584" s="2"/>
      <c r="C584" s="2"/>
      <c r="D584" s="2"/>
      <c r="E584" s="2"/>
      <c r="F584" s="2"/>
    </row>
    <row r="585" spans="1:6" ht="15.75" customHeight="1">
      <c r="A585" s="2"/>
      <c r="B585" s="2"/>
      <c r="C585" s="2"/>
      <c r="D585" s="2"/>
      <c r="E585" s="2"/>
      <c r="F585" s="2"/>
    </row>
    <row r="586" spans="1:6" ht="15.75" customHeight="1">
      <c r="A586" s="2"/>
      <c r="B586" s="2"/>
      <c r="C586" s="2"/>
      <c r="D586" s="2"/>
      <c r="E586" s="2"/>
      <c r="F586" s="2"/>
    </row>
    <row r="587" spans="1:6" ht="15.75" customHeight="1">
      <c r="A587" s="2"/>
      <c r="B587" s="2"/>
      <c r="C587" s="2"/>
      <c r="D587" s="2"/>
      <c r="E587" s="2"/>
      <c r="F587" s="2"/>
    </row>
    <row r="588" spans="1:6" ht="15.75" customHeight="1">
      <c r="A588" s="2"/>
      <c r="B588" s="2"/>
      <c r="C588" s="2"/>
      <c r="D588" s="2"/>
      <c r="E588" s="2"/>
      <c r="F588" s="2"/>
    </row>
    <row r="589" spans="1:6" ht="15.75" customHeight="1">
      <c r="A589" s="2"/>
      <c r="B589" s="2"/>
      <c r="C589" s="2"/>
      <c r="D589" s="2"/>
      <c r="E589" s="2"/>
      <c r="F589" s="2"/>
    </row>
    <row r="590" spans="1:6" ht="15.75" customHeight="1">
      <c r="A590" s="2"/>
      <c r="B590" s="2"/>
      <c r="C590" s="2"/>
      <c r="D590" s="2"/>
      <c r="E590" s="2"/>
      <c r="F590" s="2"/>
    </row>
    <row r="591" spans="1:6" ht="15.75" customHeight="1">
      <c r="A591" s="2"/>
      <c r="B591" s="2"/>
      <c r="C591" s="2"/>
      <c r="D591" s="2"/>
      <c r="E591" s="2"/>
      <c r="F591" s="2"/>
    </row>
    <row r="592" spans="1:6" ht="15.75" customHeight="1">
      <c r="A592" s="2"/>
      <c r="B592" s="2"/>
      <c r="C592" s="2"/>
      <c r="D592" s="2"/>
      <c r="E592" s="2"/>
      <c r="F592" s="2"/>
    </row>
    <row r="593" spans="1:6" ht="15.75" customHeight="1">
      <c r="A593" s="2"/>
      <c r="B593" s="2"/>
      <c r="C593" s="2"/>
      <c r="D593" s="2"/>
      <c r="E593" s="2"/>
      <c r="F593" s="2"/>
    </row>
    <row r="594" spans="1:6" ht="15.75" customHeight="1">
      <c r="A594" s="2"/>
      <c r="B594" s="2"/>
      <c r="C594" s="2"/>
      <c r="D594" s="2"/>
      <c r="E594" s="2"/>
      <c r="F594" s="2"/>
    </row>
    <row r="595" spans="1:6" ht="15.75" customHeight="1">
      <c r="A595" s="2"/>
      <c r="B595" s="2"/>
      <c r="C595" s="2"/>
      <c r="D595" s="2"/>
      <c r="E595" s="2"/>
      <c r="F595" s="2"/>
    </row>
    <row r="596" spans="1:6" ht="15.75" customHeight="1">
      <c r="A596" s="2"/>
      <c r="B596" s="2"/>
      <c r="C596" s="2"/>
      <c r="D596" s="2"/>
      <c r="E596" s="2"/>
      <c r="F596" s="2"/>
    </row>
    <row r="597" spans="1:6" ht="15.75" customHeight="1">
      <c r="A597" s="2"/>
      <c r="B597" s="2"/>
      <c r="C597" s="2"/>
      <c r="D597" s="2"/>
      <c r="E597" s="2"/>
      <c r="F597" s="2"/>
    </row>
    <row r="598" spans="1:6" ht="15.75" customHeight="1">
      <c r="A598" s="2"/>
      <c r="B598" s="2"/>
      <c r="C598" s="2"/>
      <c r="D598" s="2"/>
      <c r="E598" s="2"/>
      <c r="F598" s="2"/>
    </row>
    <row r="599" spans="1:6" ht="15.75" customHeight="1">
      <c r="A599" s="2"/>
      <c r="B599" s="2"/>
      <c r="C599" s="2"/>
      <c r="D599" s="2"/>
      <c r="E599" s="2"/>
      <c r="F599" s="2"/>
    </row>
    <row r="600" spans="1:6" ht="15.75" customHeight="1">
      <c r="A600" s="2"/>
      <c r="B600" s="2"/>
      <c r="C600" s="2"/>
      <c r="D600" s="2"/>
      <c r="E600" s="2"/>
      <c r="F600" s="2"/>
    </row>
    <row r="601" spans="1:6" ht="15.75" customHeight="1">
      <c r="A601" s="2"/>
      <c r="B601" s="2"/>
      <c r="C601" s="2"/>
      <c r="D601" s="2"/>
      <c r="E601" s="2"/>
      <c r="F601" s="2"/>
    </row>
    <row r="602" spans="1:6" ht="15.75" customHeight="1">
      <c r="A602" s="2"/>
      <c r="B602" s="2"/>
      <c r="C602" s="2"/>
      <c r="D602" s="2"/>
      <c r="E602" s="2"/>
      <c r="F602" s="2"/>
    </row>
    <row r="603" spans="1:6" ht="15.75" customHeight="1">
      <c r="A603" s="2"/>
      <c r="B603" s="2"/>
      <c r="C603" s="2"/>
      <c r="D603" s="2"/>
      <c r="E603" s="2"/>
      <c r="F603" s="2"/>
    </row>
    <row r="604" spans="1:6" ht="15.75" customHeight="1">
      <c r="A604" s="2"/>
      <c r="B604" s="2"/>
      <c r="C604" s="2"/>
      <c r="D604" s="2"/>
      <c r="E604" s="2"/>
      <c r="F604" s="2"/>
    </row>
    <row r="605" spans="1:6" ht="15.75" customHeight="1">
      <c r="A605" s="2"/>
      <c r="B605" s="2"/>
      <c r="C605" s="2"/>
      <c r="D605" s="2"/>
      <c r="E605" s="2"/>
      <c r="F605" s="2"/>
    </row>
    <row r="606" spans="1:6" ht="15.75" customHeight="1">
      <c r="A606" s="2"/>
      <c r="B606" s="2"/>
      <c r="C606" s="2"/>
      <c r="D606" s="2"/>
      <c r="E606" s="2"/>
      <c r="F606" s="2"/>
    </row>
    <row r="607" spans="1:6" ht="15.75" customHeight="1">
      <c r="A607" s="2"/>
      <c r="B607" s="2"/>
      <c r="C607" s="2"/>
      <c r="D607" s="2"/>
      <c r="E607" s="2"/>
      <c r="F607" s="2"/>
    </row>
    <row r="608" spans="1:6" ht="15.75" customHeight="1">
      <c r="A608" s="2"/>
      <c r="B608" s="2"/>
      <c r="C608" s="2"/>
      <c r="D608" s="2"/>
      <c r="E608" s="2"/>
      <c r="F608" s="2"/>
    </row>
    <row r="609" spans="1:6" ht="15.75" customHeight="1">
      <c r="A609" s="2"/>
      <c r="B609" s="2"/>
      <c r="C609" s="2"/>
      <c r="D609" s="2"/>
      <c r="E609" s="2"/>
      <c r="F609" s="2"/>
    </row>
    <row r="610" spans="1:6" ht="15.75" customHeight="1">
      <c r="A610" s="2"/>
      <c r="B610" s="2"/>
      <c r="C610" s="2"/>
      <c r="D610" s="2"/>
      <c r="E610" s="2"/>
      <c r="F610" s="2"/>
    </row>
    <row r="611" spans="1:6" ht="15.75" customHeight="1">
      <c r="A611" s="2"/>
      <c r="B611" s="2"/>
      <c r="C611" s="2"/>
      <c r="D611" s="2"/>
      <c r="E611" s="2"/>
      <c r="F611" s="2"/>
    </row>
    <row r="612" spans="1:6" ht="15.75" customHeight="1">
      <c r="A612" s="2"/>
      <c r="B612" s="2"/>
      <c r="C612" s="2"/>
      <c r="D612" s="2"/>
      <c r="E612" s="2"/>
      <c r="F612" s="2"/>
    </row>
    <row r="613" spans="1:6" ht="15.75" customHeight="1">
      <c r="A613" s="2"/>
      <c r="B613" s="2"/>
      <c r="C613" s="2"/>
      <c r="D613" s="2"/>
      <c r="E613" s="2"/>
      <c r="F613" s="2"/>
    </row>
    <row r="614" spans="1:6" ht="15.75" customHeight="1">
      <c r="A614" s="2"/>
      <c r="B614" s="2"/>
      <c r="C614" s="2"/>
      <c r="D614" s="2"/>
      <c r="E614" s="2"/>
      <c r="F614" s="2"/>
    </row>
    <row r="615" spans="1:6" ht="15.75" customHeight="1">
      <c r="A615" s="2"/>
      <c r="B615" s="2"/>
      <c r="C615" s="2"/>
      <c r="D615" s="2"/>
      <c r="E615" s="2"/>
      <c r="F615" s="2"/>
    </row>
    <row r="616" spans="1:6" ht="15.75" customHeight="1">
      <c r="A616" s="2"/>
      <c r="B616" s="2"/>
      <c r="C616" s="2"/>
      <c r="D616" s="2"/>
      <c r="E616" s="2"/>
      <c r="F616" s="2"/>
    </row>
    <row r="617" spans="1:6" ht="15.75" customHeight="1">
      <c r="A617" s="2"/>
      <c r="B617" s="2"/>
      <c r="C617" s="2"/>
      <c r="D617" s="2"/>
      <c r="E617" s="2"/>
      <c r="F617" s="2"/>
    </row>
    <row r="618" spans="1:6" ht="15.75" customHeight="1">
      <c r="A618" s="2"/>
      <c r="B618" s="2"/>
      <c r="C618" s="2"/>
      <c r="D618" s="2"/>
      <c r="E618" s="2"/>
      <c r="F618" s="2"/>
    </row>
    <row r="619" spans="1:6" ht="15.75" customHeight="1">
      <c r="A619" s="2"/>
      <c r="B619" s="2"/>
      <c r="C619" s="2"/>
      <c r="D619" s="2"/>
      <c r="E619" s="2"/>
      <c r="F619" s="2"/>
    </row>
    <row r="620" spans="1:6" ht="15.75" customHeight="1">
      <c r="A620" s="2"/>
      <c r="B620" s="2"/>
      <c r="C620" s="2"/>
      <c r="D620" s="2"/>
      <c r="E620" s="2"/>
      <c r="F620" s="2"/>
    </row>
    <row r="621" spans="1:6" ht="15.75" customHeight="1">
      <c r="A621" s="2"/>
      <c r="B621" s="2"/>
      <c r="C621" s="2"/>
      <c r="D621" s="2"/>
      <c r="E621" s="2"/>
      <c r="F621" s="2"/>
    </row>
    <row r="622" spans="1:6" ht="15.75" customHeight="1">
      <c r="A622" s="2"/>
      <c r="B622" s="2"/>
      <c r="C622" s="2"/>
      <c r="D622" s="2"/>
      <c r="E622" s="2"/>
      <c r="F622" s="2"/>
    </row>
    <row r="623" spans="1:6" ht="15.75" customHeight="1">
      <c r="A623" s="2"/>
      <c r="B623" s="2"/>
      <c r="C623" s="2"/>
      <c r="D623" s="2"/>
      <c r="E623" s="2"/>
      <c r="F623" s="2"/>
    </row>
    <row r="624" spans="1:6" ht="15.75" customHeight="1">
      <c r="A624" s="2"/>
      <c r="B624" s="2"/>
      <c r="C624" s="2"/>
      <c r="D624" s="2"/>
      <c r="E624" s="2"/>
      <c r="F624" s="2"/>
    </row>
    <row r="625" spans="1:6" ht="15.75" customHeight="1">
      <c r="A625" s="2"/>
      <c r="B625" s="2"/>
      <c r="C625" s="2"/>
      <c r="D625" s="2"/>
      <c r="E625" s="2"/>
      <c r="F625" s="2"/>
    </row>
    <row r="626" spans="1:6" ht="15.75" customHeight="1">
      <c r="A626" s="2"/>
      <c r="B626" s="2"/>
      <c r="C626" s="2"/>
      <c r="D626" s="2"/>
      <c r="E626" s="2"/>
      <c r="F626" s="2"/>
    </row>
    <row r="627" spans="1:6" ht="15.75" customHeight="1">
      <c r="A627" s="2"/>
      <c r="B627" s="2"/>
      <c r="C627" s="2"/>
      <c r="D627" s="2"/>
      <c r="E627" s="2"/>
      <c r="F627" s="2"/>
    </row>
    <row r="628" spans="1:6" ht="15.75" customHeight="1">
      <c r="A628" s="2"/>
      <c r="B628" s="2"/>
      <c r="C628" s="2"/>
      <c r="D628" s="2"/>
      <c r="E628" s="2"/>
      <c r="F628" s="2"/>
    </row>
    <row r="629" spans="1:6" ht="15.75" customHeight="1">
      <c r="A629" s="2"/>
      <c r="B629" s="2"/>
      <c r="C629" s="2"/>
      <c r="D629" s="2"/>
      <c r="E629" s="2"/>
      <c r="F629" s="2"/>
    </row>
    <row r="630" spans="1:6" ht="15.75" customHeight="1">
      <c r="A630" s="2"/>
      <c r="B630" s="2"/>
      <c r="C630" s="2"/>
      <c r="D630" s="2"/>
      <c r="E630" s="2"/>
      <c r="F630" s="2"/>
    </row>
    <row r="631" spans="1:6" ht="15.75" customHeight="1">
      <c r="A631" s="2"/>
      <c r="B631" s="2"/>
      <c r="C631" s="2"/>
      <c r="D631" s="2"/>
      <c r="E631" s="2"/>
      <c r="F631" s="2"/>
    </row>
    <row r="632" spans="1:6" ht="15.75" customHeight="1">
      <c r="A632" s="2"/>
      <c r="B632" s="2"/>
      <c r="C632" s="2"/>
      <c r="D632" s="2"/>
      <c r="E632" s="2"/>
      <c r="F632" s="2"/>
    </row>
    <row r="633" spans="1:6" ht="15.75" customHeight="1">
      <c r="A633" s="2"/>
      <c r="B633" s="2"/>
      <c r="C633" s="2"/>
      <c r="D633" s="2"/>
      <c r="E633" s="2"/>
      <c r="F633" s="2"/>
    </row>
    <row r="634" spans="1:6" ht="15.75" customHeight="1">
      <c r="A634" s="2"/>
      <c r="B634" s="2"/>
      <c r="C634" s="2"/>
      <c r="D634" s="2"/>
      <c r="E634" s="2"/>
      <c r="F634" s="2"/>
    </row>
    <row r="635" spans="1:6" ht="15.75" customHeight="1">
      <c r="A635" s="2"/>
      <c r="B635" s="2"/>
      <c r="C635" s="2"/>
      <c r="D635" s="2"/>
      <c r="E635" s="2"/>
      <c r="F635" s="2"/>
    </row>
    <row r="636" spans="1:6" ht="15.75" customHeight="1">
      <c r="A636" s="2"/>
      <c r="B636" s="2"/>
      <c r="C636" s="2"/>
      <c r="D636" s="2"/>
      <c r="E636" s="2"/>
      <c r="F636" s="2"/>
    </row>
    <row r="637" spans="1:6" ht="15.75" customHeight="1">
      <c r="A637" s="2"/>
      <c r="B637" s="2"/>
      <c r="C637" s="2"/>
      <c r="D637" s="2"/>
      <c r="E637" s="2"/>
      <c r="F637" s="2"/>
    </row>
    <row r="638" spans="1:6" ht="15.75" customHeight="1">
      <c r="A638" s="2"/>
      <c r="B638" s="2"/>
      <c r="C638" s="2"/>
      <c r="D638" s="2"/>
      <c r="E638" s="2"/>
      <c r="F638" s="2"/>
    </row>
    <row r="639" spans="1:6" ht="15.75" customHeight="1">
      <c r="A639" s="2"/>
      <c r="B639" s="2"/>
      <c r="C639" s="2"/>
      <c r="D639" s="2"/>
      <c r="E639" s="2"/>
      <c r="F639" s="2"/>
    </row>
    <row r="640" spans="1:6" ht="15.75" customHeight="1">
      <c r="A640" s="2"/>
      <c r="B640" s="2"/>
      <c r="C640" s="2"/>
      <c r="D640" s="2"/>
      <c r="E640" s="2"/>
      <c r="F640" s="2"/>
    </row>
    <row r="641" spans="1:6" ht="15.75" customHeight="1">
      <c r="A641" s="2"/>
      <c r="B641" s="2"/>
      <c r="C641" s="2"/>
      <c r="D641" s="2"/>
      <c r="E641" s="2"/>
      <c r="F641" s="2"/>
    </row>
    <row r="642" spans="1:6" ht="15.75" customHeight="1">
      <c r="A642" s="2"/>
      <c r="B642" s="2"/>
      <c r="C642" s="2"/>
      <c r="D642" s="2"/>
      <c r="E642" s="2"/>
      <c r="F642" s="2"/>
    </row>
    <row r="643" spans="1:6" ht="15.75" customHeight="1">
      <c r="A643" s="2"/>
      <c r="B643" s="2"/>
      <c r="C643" s="2"/>
      <c r="D643" s="2"/>
      <c r="E643" s="2"/>
      <c r="F643" s="2"/>
    </row>
    <row r="644" spans="1:6" ht="15.75" customHeight="1">
      <c r="A644" s="2"/>
      <c r="B644" s="2"/>
      <c r="C644" s="2"/>
      <c r="D644" s="2"/>
      <c r="E644" s="2"/>
      <c r="F644" s="2"/>
    </row>
    <row r="645" spans="1:6" ht="15.75" customHeight="1">
      <c r="A645" s="2"/>
      <c r="B645" s="2"/>
      <c r="C645" s="2"/>
      <c r="D645" s="2"/>
      <c r="E645" s="2"/>
      <c r="F645" s="2"/>
    </row>
    <row r="646" spans="1:6" ht="15.75" customHeight="1">
      <c r="A646" s="2"/>
      <c r="B646" s="2"/>
      <c r="C646" s="2"/>
      <c r="D646" s="2"/>
      <c r="E646" s="2"/>
      <c r="F646" s="2"/>
    </row>
    <row r="647" spans="1:6" ht="15.75" customHeight="1">
      <c r="A647" s="2"/>
      <c r="B647" s="2"/>
      <c r="C647" s="2"/>
      <c r="D647" s="2"/>
      <c r="E647" s="2"/>
      <c r="F647" s="2"/>
    </row>
    <row r="648" spans="1:6" ht="15.75" customHeight="1">
      <c r="A648" s="2"/>
      <c r="B648" s="2"/>
      <c r="C648" s="2"/>
      <c r="D648" s="2"/>
      <c r="E648" s="2"/>
      <c r="F648" s="2"/>
    </row>
    <row r="649" spans="1:6" ht="15.75" customHeight="1">
      <c r="A649" s="2"/>
      <c r="B649" s="2"/>
      <c r="C649" s="2"/>
      <c r="D649" s="2"/>
      <c r="E649" s="2"/>
      <c r="F649" s="2"/>
    </row>
    <row r="650" spans="1:6" ht="15.75" customHeight="1">
      <c r="A650" s="2"/>
      <c r="B650" s="2"/>
      <c r="C650" s="2"/>
      <c r="D650" s="2"/>
      <c r="E650" s="2"/>
      <c r="F650" s="2"/>
    </row>
    <row r="651" spans="1:6" ht="15.75" customHeight="1">
      <c r="A651" s="2"/>
      <c r="B651" s="2"/>
      <c r="C651" s="2"/>
      <c r="D651" s="2"/>
      <c r="E651" s="2"/>
      <c r="F651" s="2"/>
    </row>
    <row r="652" spans="1:6" ht="15.75" customHeight="1">
      <c r="A652" s="2"/>
      <c r="B652" s="2"/>
      <c r="C652" s="2"/>
      <c r="D652" s="2"/>
      <c r="E652" s="2"/>
      <c r="F652" s="2"/>
    </row>
    <row r="653" spans="1:6" ht="15.75" customHeight="1">
      <c r="A653" s="2"/>
      <c r="B653" s="2"/>
      <c r="C653" s="2"/>
      <c r="D653" s="2"/>
      <c r="E653" s="2"/>
      <c r="F653" s="2"/>
    </row>
    <row r="654" spans="1:6" ht="15.75" customHeight="1">
      <c r="A654" s="2"/>
      <c r="B654" s="2"/>
      <c r="C654" s="2"/>
      <c r="D654" s="2"/>
      <c r="E654" s="2"/>
      <c r="F654" s="2"/>
    </row>
    <row r="655" spans="1:6" ht="15.75" customHeight="1">
      <c r="A655" s="2"/>
      <c r="B655" s="2"/>
      <c r="C655" s="2"/>
      <c r="D655" s="2"/>
      <c r="E655" s="2"/>
      <c r="F655" s="2"/>
    </row>
    <row r="656" spans="1:6" ht="15.75" customHeight="1">
      <c r="A656" s="2"/>
      <c r="B656" s="2"/>
      <c r="C656" s="2"/>
      <c r="D656" s="2"/>
      <c r="E656" s="2"/>
      <c r="F656" s="2"/>
    </row>
    <row r="657" spans="1:6" ht="15.75" customHeight="1">
      <c r="A657" s="2"/>
      <c r="B657" s="2"/>
      <c r="C657" s="2"/>
      <c r="D657" s="2"/>
      <c r="E657" s="2"/>
      <c r="F657" s="2"/>
    </row>
    <row r="658" spans="1:6" ht="15.75" customHeight="1">
      <c r="A658" s="2"/>
      <c r="B658" s="2"/>
      <c r="C658" s="2"/>
      <c r="D658" s="2"/>
      <c r="E658" s="2"/>
      <c r="F658" s="2"/>
    </row>
    <row r="659" spans="1:6" ht="15.75" customHeight="1">
      <c r="A659" s="2"/>
      <c r="B659" s="2"/>
      <c r="C659" s="2"/>
      <c r="D659" s="2"/>
      <c r="E659" s="2"/>
      <c r="F659" s="2"/>
    </row>
    <row r="660" spans="1:6" ht="15.75" customHeight="1">
      <c r="A660" s="2"/>
      <c r="B660" s="2"/>
      <c r="C660" s="2"/>
      <c r="D660" s="2"/>
      <c r="E660" s="2"/>
      <c r="F660" s="2"/>
    </row>
    <row r="661" spans="1:6" ht="15.75" customHeight="1">
      <c r="A661" s="2"/>
      <c r="B661" s="2"/>
      <c r="C661" s="2"/>
      <c r="D661" s="2"/>
      <c r="E661" s="2"/>
      <c r="F661" s="2"/>
    </row>
    <row r="662" spans="1:6" ht="15.75" customHeight="1">
      <c r="A662" s="2"/>
      <c r="B662" s="2"/>
      <c r="C662" s="2"/>
      <c r="D662" s="2"/>
      <c r="E662" s="2"/>
      <c r="F662" s="2"/>
    </row>
    <row r="663" spans="1:6" ht="15.75" customHeight="1">
      <c r="A663" s="2"/>
      <c r="B663" s="2"/>
      <c r="C663" s="2"/>
      <c r="D663" s="2"/>
      <c r="E663" s="2"/>
      <c r="F663" s="2"/>
    </row>
    <row r="664" spans="1:6" ht="15.75" customHeight="1">
      <c r="A664" s="2"/>
      <c r="B664" s="2"/>
      <c r="C664" s="2"/>
      <c r="D664" s="2"/>
      <c r="E664" s="2"/>
      <c r="F664" s="2"/>
    </row>
    <row r="665" spans="1:6" ht="15.75" customHeight="1">
      <c r="A665" s="2"/>
      <c r="B665" s="2"/>
      <c r="C665" s="2"/>
      <c r="D665" s="2"/>
      <c r="E665" s="2"/>
      <c r="F665" s="2"/>
    </row>
    <row r="666" spans="1:6" ht="15.75" customHeight="1">
      <c r="A666" s="2"/>
      <c r="B666" s="2"/>
      <c r="C666" s="2"/>
      <c r="D666" s="2"/>
      <c r="E666" s="2"/>
      <c r="F666" s="2"/>
    </row>
    <row r="667" spans="1:6" ht="15.75" customHeight="1">
      <c r="A667" s="2"/>
      <c r="B667" s="2"/>
      <c r="C667" s="2"/>
      <c r="D667" s="2"/>
      <c r="E667" s="2"/>
      <c r="F667" s="2"/>
    </row>
    <row r="668" spans="1:6" ht="15.75" customHeight="1">
      <c r="A668" s="2"/>
      <c r="B668" s="2"/>
      <c r="C668" s="2"/>
      <c r="D668" s="2"/>
      <c r="E668" s="2"/>
      <c r="F668" s="2"/>
    </row>
    <row r="669" spans="1:6" ht="15.75" customHeight="1">
      <c r="A669" s="2"/>
      <c r="B669" s="2"/>
      <c r="C669" s="2"/>
      <c r="D669" s="2"/>
      <c r="E669" s="2"/>
      <c r="F669" s="2"/>
    </row>
    <row r="670" spans="1:6" ht="15.75" customHeight="1">
      <c r="A670" s="2"/>
      <c r="B670" s="2"/>
      <c r="C670" s="2"/>
      <c r="D670" s="2"/>
      <c r="E670" s="2"/>
      <c r="F670" s="2"/>
    </row>
    <row r="671" spans="1:6" ht="15.75" customHeight="1">
      <c r="A671" s="2"/>
      <c r="B671" s="2"/>
      <c r="C671" s="2"/>
      <c r="D671" s="2"/>
      <c r="E671" s="2"/>
      <c r="F671" s="2"/>
    </row>
    <row r="672" spans="1:6" ht="15.75" customHeight="1">
      <c r="A672" s="2"/>
      <c r="B672" s="2"/>
      <c r="C672" s="2"/>
      <c r="D672" s="2"/>
      <c r="E672" s="2"/>
      <c r="F672" s="2"/>
    </row>
    <row r="673" spans="1:6" ht="15.75" customHeight="1">
      <c r="A673" s="2"/>
      <c r="B673" s="2"/>
      <c r="C673" s="2"/>
      <c r="D673" s="2"/>
      <c r="E673" s="2"/>
      <c r="F673" s="2"/>
    </row>
    <row r="674" spans="1:6" ht="15.75" customHeight="1">
      <c r="A674" s="2"/>
      <c r="B674" s="2"/>
      <c r="C674" s="2"/>
      <c r="D674" s="2"/>
      <c r="E674" s="2"/>
      <c r="F674" s="2"/>
    </row>
    <row r="675" spans="1:6" ht="15.75" customHeight="1">
      <c r="A675" s="2"/>
      <c r="B675" s="2"/>
      <c r="C675" s="2"/>
      <c r="D675" s="2"/>
      <c r="E675" s="2"/>
      <c r="F675" s="2"/>
    </row>
    <row r="676" spans="1:6" ht="15.75" customHeight="1">
      <c r="A676" s="2"/>
      <c r="B676" s="2"/>
      <c r="C676" s="2"/>
      <c r="D676" s="2"/>
      <c r="E676" s="2"/>
      <c r="F676" s="2"/>
    </row>
    <row r="677" spans="1:6" ht="15.75" customHeight="1">
      <c r="A677" s="2"/>
      <c r="B677" s="2"/>
      <c r="C677" s="2"/>
      <c r="D677" s="2"/>
      <c r="E677" s="2"/>
      <c r="F677" s="2"/>
    </row>
    <row r="678" spans="1:6" ht="15.75" customHeight="1">
      <c r="A678" s="2"/>
      <c r="B678" s="2"/>
      <c r="C678" s="2"/>
      <c r="D678" s="2"/>
      <c r="E678" s="2"/>
      <c r="F678" s="2"/>
    </row>
    <row r="679" spans="1:6" ht="15.75" customHeight="1">
      <c r="A679" s="2"/>
      <c r="B679" s="2"/>
      <c r="C679" s="2"/>
      <c r="D679" s="2"/>
      <c r="E679" s="2"/>
      <c r="F679" s="2"/>
    </row>
    <row r="680" spans="1:6" ht="15.75" customHeight="1">
      <c r="A680" s="2"/>
      <c r="B680" s="2"/>
      <c r="C680" s="2"/>
      <c r="D680" s="2"/>
      <c r="E680" s="2"/>
      <c r="F680" s="2"/>
    </row>
    <row r="681" spans="1:6" ht="15.75" customHeight="1">
      <c r="A681" s="2"/>
      <c r="B681" s="2"/>
      <c r="C681" s="2"/>
      <c r="D681" s="2"/>
      <c r="E681" s="2"/>
      <c r="F681" s="2"/>
    </row>
    <row r="682" spans="1:6" ht="15.75" customHeight="1">
      <c r="A682" s="2"/>
      <c r="B682" s="2"/>
      <c r="C682" s="2"/>
      <c r="D682" s="2"/>
      <c r="E682" s="2"/>
      <c r="F682" s="2"/>
    </row>
    <row r="683" spans="1:6" ht="15.75" customHeight="1">
      <c r="A683" s="2"/>
      <c r="B683" s="2"/>
      <c r="C683" s="2"/>
      <c r="D683" s="2"/>
      <c r="E683" s="2"/>
      <c r="F683" s="2"/>
    </row>
    <row r="684" spans="1:6" ht="15.75" customHeight="1">
      <c r="A684" s="2"/>
      <c r="B684" s="2"/>
      <c r="C684" s="2"/>
      <c r="D684" s="2"/>
      <c r="E684" s="2"/>
      <c r="F684" s="2"/>
    </row>
    <row r="685" spans="1:6" ht="15.75" customHeight="1">
      <c r="A685" s="2"/>
      <c r="B685" s="2"/>
      <c r="C685" s="2"/>
      <c r="D685" s="2"/>
      <c r="E685" s="2"/>
      <c r="F685" s="2"/>
    </row>
    <row r="686" spans="1:6" ht="15.75" customHeight="1">
      <c r="A686" s="2"/>
      <c r="B686" s="2"/>
      <c r="C686" s="2"/>
      <c r="D686" s="2"/>
      <c r="E686" s="2"/>
      <c r="F686" s="2"/>
    </row>
    <row r="687" spans="1:6" ht="15.75" customHeight="1">
      <c r="A687" s="2"/>
      <c r="B687" s="2"/>
      <c r="C687" s="2"/>
      <c r="D687" s="2"/>
      <c r="E687" s="2"/>
      <c r="F687" s="2"/>
    </row>
    <row r="688" spans="1:6" ht="15.75" customHeight="1">
      <c r="A688" s="2"/>
      <c r="B688" s="2"/>
      <c r="C688" s="2"/>
      <c r="D688" s="2"/>
      <c r="E688" s="2"/>
      <c r="F688" s="2"/>
    </row>
    <row r="689" spans="1:6" ht="15.75" customHeight="1">
      <c r="A689" s="2"/>
      <c r="B689" s="2"/>
      <c r="C689" s="2"/>
      <c r="D689" s="2"/>
      <c r="E689" s="2"/>
      <c r="F689" s="2"/>
    </row>
    <row r="690" spans="1:6" ht="15.75" customHeight="1">
      <c r="A690" s="2"/>
      <c r="B690" s="2"/>
      <c r="C690" s="2"/>
      <c r="D690" s="2"/>
      <c r="E690" s="2"/>
      <c r="F690" s="2"/>
    </row>
    <row r="691" spans="1:6" ht="15.75" customHeight="1">
      <c r="A691" s="2"/>
      <c r="B691" s="2"/>
      <c r="C691" s="2"/>
      <c r="D691" s="2"/>
      <c r="E691" s="2"/>
      <c r="F691" s="2"/>
    </row>
    <row r="692" spans="1:6" ht="15.75" customHeight="1">
      <c r="A692" s="2"/>
      <c r="B692" s="2"/>
      <c r="C692" s="2"/>
      <c r="D692" s="2"/>
      <c r="E692" s="2"/>
      <c r="F692" s="2"/>
    </row>
    <row r="693" spans="1:6" ht="15.75" customHeight="1">
      <c r="A693" s="2"/>
      <c r="B693" s="2"/>
      <c r="C693" s="2"/>
      <c r="D693" s="2"/>
      <c r="E693" s="2"/>
      <c r="F693" s="2"/>
    </row>
    <row r="694" spans="1:6" ht="15.75" customHeight="1">
      <c r="A694" s="2"/>
      <c r="B694" s="2"/>
      <c r="C694" s="2"/>
      <c r="D694" s="2"/>
      <c r="E694" s="2"/>
      <c r="F694" s="2"/>
    </row>
    <row r="695" spans="1:6" ht="15.75" customHeight="1">
      <c r="A695" s="2"/>
      <c r="B695" s="2"/>
      <c r="C695" s="2"/>
      <c r="D695" s="2"/>
      <c r="E695" s="2"/>
      <c r="F695" s="2"/>
    </row>
    <row r="696" spans="1:6" ht="15.75" customHeight="1">
      <c r="A696" s="2"/>
      <c r="B696" s="2"/>
      <c r="C696" s="2"/>
      <c r="D696" s="2"/>
      <c r="E696" s="2"/>
      <c r="F696" s="2"/>
    </row>
    <row r="697" spans="1:6" ht="15.75" customHeight="1">
      <c r="A697" s="2"/>
      <c r="B697" s="2"/>
      <c r="C697" s="2"/>
      <c r="D697" s="2"/>
      <c r="E697" s="2"/>
      <c r="F697" s="2"/>
    </row>
    <row r="698" spans="1:6" ht="15.75" customHeight="1">
      <c r="A698" s="2"/>
      <c r="B698" s="2"/>
      <c r="C698" s="2"/>
      <c r="D698" s="2"/>
      <c r="E698" s="2"/>
      <c r="F698" s="2"/>
    </row>
    <row r="699" spans="1:6" ht="15.75" customHeight="1">
      <c r="A699" s="2"/>
      <c r="B699" s="2"/>
      <c r="C699" s="2"/>
      <c r="D699" s="2"/>
      <c r="E699" s="2"/>
      <c r="F699" s="2"/>
    </row>
    <row r="700" spans="1:6" ht="15.75" customHeight="1">
      <c r="A700" s="2"/>
      <c r="B700" s="2"/>
      <c r="C700" s="2"/>
      <c r="D700" s="2"/>
      <c r="E700" s="2"/>
      <c r="F700" s="2"/>
    </row>
    <row r="701" spans="1:6" ht="15.75" customHeight="1">
      <c r="A701" s="2"/>
      <c r="B701" s="2"/>
      <c r="C701" s="2"/>
      <c r="D701" s="2"/>
      <c r="E701" s="2"/>
      <c r="F701" s="2"/>
    </row>
    <row r="702" spans="1:6" ht="15.75" customHeight="1">
      <c r="A702" s="2"/>
      <c r="B702" s="2"/>
      <c r="C702" s="2"/>
      <c r="D702" s="2"/>
      <c r="E702" s="2"/>
      <c r="F702" s="2"/>
    </row>
    <row r="703" spans="1:6" ht="15.75" customHeight="1">
      <c r="A703" s="2"/>
      <c r="B703" s="2"/>
      <c r="C703" s="2"/>
      <c r="D703" s="2"/>
      <c r="E703" s="2"/>
      <c r="F703" s="2"/>
    </row>
    <row r="704" spans="1:6" ht="15.75" customHeight="1">
      <c r="A704" s="2"/>
      <c r="B704" s="2"/>
      <c r="C704" s="2"/>
      <c r="D704" s="2"/>
      <c r="E704" s="2"/>
      <c r="F704" s="2"/>
    </row>
    <row r="705" spans="1:6" ht="15.75" customHeight="1">
      <c r="A705" s="2"/>
      <c r="B705" s="2"/>
      <c r="C705" s="2"/>
      <c r="D705" s="2"/>
      <c r="E705" s="2"/>
      <c r="F705" s="2"/>
    </row>
    <row r="706" spans="1:6" ht="15.75" customHeight="1">
      <c r="A706" s="2"/>
      <c r="B706" s="2"/>
      <c r="C706" s="2"/>
      <c r="D706" s="2"/>
      <c r="E706" s="2"/>
      <c r="F706" s="2"/>
    </row>
    <row r="707" spans="1:6" ht="15.75" customHeight="1">
      <c r="A707" s="2"/>
      <c r="B707" s="2"/>
      <c r="C707" s="2"/>
      <c r="D707" s="2"/>
      <c r="E707" s="2"/>
      <c r="F707" s="2"/>
    </row>
    <row r="708" spans="1:6" ht="15.75" customHeight="1">
      <c r="A708" s="2"/>
      <c r="B708" s="2"/>
      <c r="C708" s="2"/>
      <c r="D708" s="2"/>
      <c r="E708" s="2"/>
      <c r="F708" s="2"/>
    </row>
    <row r="709" spans="1:6" ht="15.75" customHeight="1">
      <c r="A709" s="2"/>
      <c r="B709" s="2"/>
      <c r="C709" s="2"/>
      <c r="D709" s="2"/>
      <c r="E709" s="2"/>
      <c r="F709" s="2"/>
    </row>
    <row r="710" spans="1:6" ht="15.75" customHeight="1">
      <c r="A710" s="2"/>
      <c r="B710" s="2"/>
      <c r="C710" s="2"/>
      <c r="D710" s="2"/>
      <c r="E710" s="2"/>
      <c r="F710" s="2"/>
    </row>
    <row r="711" spans="1:6" ht="15.75" customHeight="1">
      <c r="A711" s="2"/>
      <c r="B711" s="2"/>
      <c r="C711" s="2"/>
      <c r="D711" s="2"/>
      <c r="E711" s="2"/>
      <c r="F711" s="2"/>
    </row>
    <row r="712" spans="1:6" ht="15.75" customHeight="1">
      <c r="A712" s="2"/>
      <c r="B712" s="2"/>
      <c r="C712" s="2"/>
      <c r="D712" s="2"/>
      <c r="E712" s="2"/>
      <c r="F712" s="2"/>
    </row>
    <row r="713" spans="1:6" ht="15.75" customHeight="1">
      <c r="A713" s="2"/>
      <c r="B713" s="2"/>
      <c r="C713" s="2"/>
      <c r="D713" s="2"/>
      <c r="E713" s="2"/>
      <c r="F713" s="2"/>
    </row>
    <row r="714" spans="1:6" ht="15.75" customHeight="1">
      <c r="A714" s="2"/>
      <c r="B714" s="2"/>
      <c r="C714" s="2"/>
      <c r="D714" s="2"/>
      <c r="E714" s="2"/>
      <c r="F714" s="2"/>
    </row>
    <row r="715" spans="1:6" ht="15.75" customHeight="1">
      <c r="A715" s="2"/>
      <c r="B715" s="2"/>
      <c r="C715" s="2"/>
      <c r="D715" s="2"/>
      <c r="E715" s="2"/>
      <c r="F715" s="2"/>
    </row>
    <row r="716" spans="1:6" ht="15.75" customHeight="1">
      <c r="A716" s="2"/>
      <c r="B716" s="2"/>
      <c r="C716" s="2"/>
      <c r="D716" s="2"/>
      <c r="E716" s="2"/>
      <c r="F716" s="2"/>
    </row>
    <row r="717" spans="1:6" ht="15.75" customHeight="1">
      <c r="A717" s="2"/>
      <c r="B717" s="2"/>
      <c r="C717" s="2"/>
      <c r="D717" s="2"/>
      <c r="E717" s="2"/>
      <c r="F717" s="2"/>
    </row>
    <row r="718" spans="1:6" ht="15.75" customHeight="1">
      <c r="A718" s="2"/>
      <c r="B718" s="2"/>
      <c r="C718" s="2"/>
      <c r="D718" s="2"/>
      <c r="E718" s="2"/>
      <c r="F718" s="2"/>
    </row>
    <row r="719" spans="1:6" ht="15.75" customHeight="1">
      <c r="A719" s="2"/>
      <c r="B719" s="2"/>
      <c r="C719" s="2"/>
      <c r="D719" s="2"/>
      <c r="E719" s="2"/>
      <c r="F719" s="2"/>
    </row>
    <row r="720" spans="1:6" ht="15.75" customHeight="1">
      <c r="A720" s="2"/>
      <c r="B720" s="2"/>
      <c r="C720" s="2"/>
      <c r="D720" s="2"/>
      <c r="E720" s="2"/>
      <c r="F720" s="2"/>
    </row>
    <row r="721" spans="1:6" ht="15.75" customHeight="1">
      <c r="A721" s="2"/>
      <c r="B721" s="2"/>
      <c r="C721" s="2"/>
      <c r="D721" s="2"/>
      <c r="E721" s="2"/>
      <c r="F721" s="2"/>
    </row>
    <row r="722" spans="1:6" ht="15.75" customHeight="1">
      <c r="A722" s="2"/>
      <c r="B722" s="2"/>
      <c r="C722" s="2"/>
      <c r="D722" s="2"/>
      <c r="E722" s="2"/>
      <c r="F722" s="2"/>
    </row>
    <row r="723" spans="1:6" ht="15.75" customHeight="1">
      <c r="A723" s="2"/>
      <c r="B723" s="2"/>
      <c r="C723" s="2"/>
      <c r="D723" s="2"/>
      <c r="E723" s="2"/>
      <c r="F723" s="2"/>
    </row>
    <row r="724" spans="1:6" ht="15.75" customHeight="1">
      <c r="A724" s="2"/>
      <c r="B724" s="2"/>
      <c r="C724" s="2"/>
      <c r="D724" s="2"/>
      <c r="E724" s="2"/>
      <c r="F724" s="2"/>
    </row>
    <row r="725" spans="1:6" ht="15.75" customHeight="1">
      <c r="A725" s="2"/>
      <c r="B725" s="2"/>
      <c r="C725" s="2"/>
      <c r="D725" s="2"/>
      <c r="E725" s="2"/>
      <c r="F725" s="2"/>
    </row>
    <row r="726" spans="1:6" ht="15.75" customHeight="1">
      <c r="A726" s="2"/>
      <c r="B726" s="2"/>
      <c r="C726" s="2"/>
      <c r="D726" s="2"/>
      <c r="E726" s="2"/>
      <c r="F726" s="2"/>
    </row>
    <row r="727" spans="1:6" ht="15.75" customHeight="1">
      <c r="A727" s="2"/>
      <c r="B727" s="2"/>
      <c r="C727" s="2"/>
      <c r="D727" s="2"/>
      <c r="E727" s="2"/>
      <c r="F727" s="2"/>
    </row>
    <row r="728" spans="1:6" ht="15.75" customHeight="1">
      <c r="A728" s="2"/>
      <c r="B728" s="2"/>
      <c r="C728" s="2"/>
      <c r="D728" s="2"/>
      <c r="E728" s="2"/>
      <c r="F728" s="2"/>
    </row>
    <row r="729" spans="1:6" ht="15.75" customHeight="1">
      <c r="A729" s="2"/>
      <c r="B729" s="2"/>
      <c r="C729" s="2"/>
      <c r="D729" s="2"/>
      <c r="E729" s="2"/>
      <c r="F729" s="2"/>
    </row>
    <row r="730" spans="1:6" ht="15.75" customHeight="1">
      <c r="A730" s="2"/>
      <c r="B730" s="2"/>
      <c r="C730" s="2"/>
      <c r="D730" s="2"/>
      <c r="E730" s="2"/>
      <c r="F730" s="2"/>
    </row>
    <row r="731" spans="1:6" ht="15.75" customHeight="1">
      <c r="A731" s="2"/>
      <c r="B731" s="2"/>
      <c r="C731" s="2"/>
      <c r="D731" s="2"/>
      <c r="E731" s="2"/>
      <c r="F731" s="2"/>
    </row>
    <row r="732" spans="1:6" ht="15.75" customHeight="1">
      <c r="A732" s="2"/>
      <c r="B732" s="2"/>
      <c r="C732" s="2"/>
      <c r="D732" s="2"/>
      <c r="E732" s="2"/>
      <c r="F732" s="2"/>
    </row>
    <row r="733" spans="1:6" ht="15.75" customHeight="1">
      <c r="A733" s="2"/>
      <c r="B733" s="2"/>
      <c r="C733" s="2"/>
      <c r="D733" s="2"/>
      <c r="E733" s="2"/>
      <c r="F733" s="2"/>
    </row>
    <row r="734" spans="1:6" ht="15.75" customHeight="1">
      <c r="A734" s="2"/>
      <c r="B734" s="2"/>
      <c r="C734" s="2"/>
      <c r="D734" s="2"/>
      <c r="E734" s="2"/>
      <c r="F734" s="2"/>
    </row>
    <row r="735" spans="1:6" ht="15.75" customHeight="1">
      <c r="A735" s="2"/>
      <c r="B735" s="2"/>
      <c r="C735" s="2"/>
      <c r="D735" s="2"/>
      <c r="E735" s="2"/>
      <c r="F735" s="2"/>
    </row>
    <row r="736" spans="1:6" ht="15.75" customHeight="1">
      <c r="A736" s="2"/>
      <c r="B736" s="2"/>
      <c r="C736" s="2"/>
      <c r="D736" s="2"/>
      <c r="E736" s="2"/>
      <c r="F736" s="2"/>
    </row>
    <row r="737" spans="1:6" ht="15.75" customHeight="1">
      <c r="A737" s="2"/>
      <c r="B737" s="2"/>
      <c r="C737" s="2"/>
      <c r="D737" s="2"/>
      <c r="E737" s="2"/>
      <c r="F737" s="2"/>
    </row>
    <row r="738" spans="1:6" ht="15.75" customHeight="1">
      <c r="A738" s="2"/>
      <c r="B738" s="2"/>
      <c r="C738" s="2"/>
      <c r="D738" s="2"/>
      <c r="E738" s="2"/>
      <c r="F738" s="2"/>
    </row>
    <row r="739" spans="1:6" ht="15.75" customHeight="1">
      <c r="A739" s="2"/>
      <c r="B739" s="2"/>
      <c r="C739" s="2"/>
      <c r="D739" s="2"/>
      <c r="E739" s="2"/>
      <c r="F739" s="2"/>
    </row>
    <row r="740" spans="1:6" ht="15.75" customHeight="1">
      <c r="A740" s="2"/>
      <c r="B740" s="2"/>
      <c r="C740" s="2"/>
      <c r="D740" s="2"/>
      <c r="E740" s="2"/>
      <c r="F740" s="2"/>
    </row>
    <row r="741" spans="1:6" ht="15.75" customHeight="1">
      <c r="A741" s="2"/>
      <c r="B741" s="2"/>
      <c r="C741" s="2"/>
      <c r="D741" s="2"/>
      <c r="E741" s="2"/>
      <c r="F741" s="2"/>
    </row>
    <row r="742" spans="1:6" ht="15.75" customHeight="1">
      <c r="A742" s="2"/>
      <c r="B742" s="2"/>
      <c r="C742" s="2"/>
      <c r="D742" s="2"/>
      <c r="E742" s="2"/>
      <c r="F742" s="2"/>
    </row>
    <row r="743" spans="1:6" ht="15.75" customHeight="1">
      <c r="A743" s="2"/>
      <c r="B743" s="2"/>
      <c r="C743" s="2"/>
      <c r="D743" s="2"/>
      <c r="E743" s="2"/>
      <c r="F743" s="2"/>
    </row>
    <row r="744" spans="1:6" ht="15.75" customHeight="1">
      <c r="A744" s="2"/>
      <c r="B744" s="2"/>
      <c r="C744" s="2"/>
      <c r="D744" s="2"/>
      <c r="E744" s="2"/>
      <c r="F744" s="2"/>
    </row>
    <row r="745" spans="1:6" ht="15.75" customHeight="1">
      <c r="A745" s="2"/>
      <c r="B745" s="2"/>
      <c r="C745" s="2"/>
      <c r="D745" s="2"/>
      <c r="E745" s="2"/>
      <c r="F745" s="2"/>
    </row>
    <row r="746" spans="1:6" ht="15.75" customHeight="1">
      <c r="A746" s="2"/>
      <c r="B746" s="2"/>
      <c r="C746" s="2"/>
      <c r="D746" s="2"/>
      <c r="E746" s="2"/>
      <c r="F746" s="2"/>
    </row>
    <row r="747" spans="1:6" ht="15.75" customHeight="1">
      <c r="A747" s="2"/>
      <c r="B747" s="2"/>
      <c r="C747" s="2"/>
      <c r="D747" s="2"/>
      <c r="E747" s="2"/>
      <c r="F747" s="2"/>
    </row>
    <row r="748" spans="1:6" ht="15.75" customHeight="1">
      <c r="A748" s="2"/>
      <c r="B748" s="2"/>
      <c r="C748" s="2"/>
      <c r="D748" s="2"/>
      <c r="E748" s="2"/>
      <c r="F748" s="2"/>
    </row>
    <row r="749" spans="1:6" ht="15.75" customHeight="1">
      <c r="A749" s="2"/>
      <c r="B749" s="2"/>
      <c r="C749" s="2"/>
      <c r="D749" s="2"/>
      <c r="E749" s="2"/>
      <c r="F749" s="2"/>
    </row>
    <row r="750" spans="1:6" ht="15.75" customHeight="1">
      <c r="A750" s="2"/>
      <c r="B750" s="2"/>
      <c r="C750" s="2"/>
      <c r="D750" s="2"/>
      <c r="E750" s="2"/>
      <c r="F750" s="2"/>
    </row>
    <row r="751" spans="1:6" ht="15.75" customHeight="1">
      <c r="A751" s="2"/>
      <c r="B751" s="2"/>
      <c r="C751" s="2"/>
      <c r="D751" s="2"/>
      <c r="E751" s="2"/>
      <c r="F751" s="2"/>
    </row>
    <row r="752" spans="1:6" ht="15.75" customHeight="1">
      <c r="A752" s="2"/>
      <c r="B752" s="2"/>
      <c r="C752" s="2"/>
      <c r="D752" s="2"/>
      <c r="E752" s="2"/>
      <c r="F752" s="2"/>
    </row>
    <row r="753" spans="1:6" ht="15.75" customHeight="1">
      <c r="A753" s="2"/>
      <c r="B753" s="2"/>
      <c r="C753" s="2"/>
      <c r="D753" s="2"/>
      <c r="E753" s="2"/>
      <c r="F753" s="2"/>
    </row>
    <row r="754" spans="1:6" ht="15.75" customHeight="1">
      <c r="A754" s="2"/>
      <c r="B754" s="2"/>
      <c r="C754" s="2"/>
      <c r="D754" s="2"/>
      <c r="E754" s="2"/>
      <c r="F754" s="2"/>
    </row>
    <row r="755" spans="1:6" ht="15.75" customHeight="1">
      <c r="A755" s="2"/>
      <c r="B755" s="2"/>
      <c r="C755" s="2"/>
      <c r="D755" s="2"/>
      <c r="E755" s="2"/>
      <c r="F755" s="2"/>
    </row>
    <row r="756" spans="1:6" ht="15.75" customHeight="1">
      <c r="A756" s="2"/>
      <c r="B756" s="2"/>
      <c r="C756" s="2"/>
      <c r="D756" s="2"/>
      <c r="E756" s="2"/>
      <c r="F756" s="2"/>
    </row>
    <row r="757" spans="1:6" ht="15.75" customHeight="1">
      <c r="A757" s="2"/>
      <c r="B757" s="2"/>
      <c r="C757" s="2"/>
      <c r="D757" s="2"/>
      <c r="E757" s="2"/>
      <c r="F757" s="2"/>
    </row>
    <row r="758" spans="1:6" ht="15.75" customHeight="1">
      <c r="A758" s="2"/>
      <c r="B758" s="2"/>
      <c r="C758" s="2"/>
      <c r="D758" s="2"/>
      <c r="E758" s="2"/>
      <c r="F758" s="2"/>
    </row>
    <row r="759" spans="1:6" ht="15.75" customHeight="1">
      <c r="A759" s="2"/>
      <c r="B759" s="2"/>
      <c r="C759" s="2"/>
      <c r="D759" s="2"/>
      <c r="E759" s="2"/>
      <c r="F759" s="2"/>
    </row>
    <row r="760" spans="1:6" ht="15.75" customHeight="1">
      <c r="A760" s="2"/>
      <c r="B760" s="2"/>
      <c r="C760" s="2"/>
      <c r="D760" s="2"/>
      <c r="E760" s="2"/>
      <c r="F760" s="2"/>
    </row>
    <row r="761" spans="1:6" ht="15.75" customHeight="1">
      <c r="A761" s="2"/>
      <c r="B761" s="2"/>
      <c r="C761" s="2"/>
      <c r="D761" s="2"/>
      <c r="E761" s="2"/>
      <c r="F761" s="2"/>
    </row>
    <row r="762" spans="1:6" ht="15.75" customHeight="1">
      <c r="A762" s="2"/>
      <c r="B762" s="2"/>
      <c r="C762" s="2"/>
      <c r="D762" s="2"/>
      <c r="E762" s="2"/>
      <c r="F762" s="2"/>
    </row>
    <row r="763" spans="1:6" ht="15.75" customHeight="1">
      <c r="A763" s="2"/>
      <c r="B763" s="2"/>
      <c r="C763" s="2"/>
      <c r="D763" s="2"/>
      <c r="E763" s="2"/>
      <c r="F763" s="2"/>
    </row>
    <row r="764" spans="1:6" ht="15.75" customHeight="1">
      <c r="A764" s="2"/>
      <c r="B764" s="2"/>
      <c r="C764" s="2"/>
      <c r="D764" s="2"/>
      <c r="E764" s="2"/>
      <c r="F764" s="2"/>
    </row>
    <row r="765" spans="1:6" ht="15.75" customHeight="1">
      <c r="A765" s="2"/>
      <c r="B765" s="2"/>
      <c r="C765" s="2"/>
      <c r="D765" s="2"/>
      <c r="E765" s="2"/>
      <c r="F765" s="2"/>
    </row>
    <row r="766" spans="1:6" ht="15.75" customHeight="1">
      <c r="A766" s="2"/>
      <c r="B766" s="2"/>
      <c r="C766" s="2"/>
      <c r="D766" s="2"/>
      <c r="E766" s="2"/>
      <c r="F766" s="2"/>
    </row>
    <row r="767" spans="1:6" ht="15.75" customHeight="1">
      <c r="A767" s="2"/>
      <c r="B767" s="2"/>
      <c r="C767" s="2"/>
      <c r="D767" s="2"/>
      <c r="E767" s="2"/>
      <c r="F767" s="2"/>
    </row>
    <row r="768" spans="1:6" ht="15.75" customHeight="1">
      <c r="A768" s="2"/>
      <c r="B768" s="2"/>
      <c r="C768" s="2"/>
      <c r="D768" s="2"/>
      <c r="E768" s="2"/>
      <c r="F768" s="2"/>
    </row>
    <row r="769" spans="1:6" ht="15.75" customHeight="1">
      <c r="A769" s="2"/>
      <c r="B769" s="2"/>
      <c r="C769" s="2"/>
      <c r="D769" s="2"/>
      <c r="E769" s="2"/>
      <c r="F769" s="2"/>
    </row>
    <row r="770" spans="1:6" ht="15.75" customHeight="1">
      <c r="A770" s="2"/>
      <c r="B770" s="2"/>
      <c r="C770" s="2"/>
      <c r="D770" s="2"/>
      <c r="E770" s="2"/>
      <c r="F770" s="2"/>
    </row>
    <row r="771" spans="1:6" ht="15.75" customHeight="1">
      <c r="A771" s="2"/>
      <c r="B771" s="2"/>
      <c r="C771" s="2"/>
      <c r="D771" s="2"/>
      <c r="E771" s="2"/>
      <c r="F771" s="2"/>
    </row>
    <row r="772" spans="1:6" ht="15.75" customHeight="1">
      <c r="A772" s="2"/>
      <c r="B772" s="2"/>
      <c r="C772" s="2"/>
      <c r="D772" s="2"/>
      <c r="E772" s="2"/>
      <c r="F772" s="2"/>
    </row>
    <row r="773" spans="1:6" ht="15.75" customHeight="1">
      <c r="A773" s="2"/>
      <c r="B773" s="2"/>
      <c r="C773" s="2"/>
      <c r="D773" s="2"/>
      <c r="E773" s="2"/>
      <c r="F773" s="2"/>
    </row>
    <row r="774" spans="1:6" ht="15.75" customHeight="1">
      <c r="A774" s="2"/>
      <c r="B774" s="2"/>
      <c r="C774" s="2"/>
      <c r="D774" s="2"/>
      <c r="E774" s="2"/>
      <c r="F774" s="2"/>
    </row>
    <row r="775" spans="1:6" ht="15.75" customHeight="1">
      <c r="A775" s="2"/>
      <c r="B775" s="2"/>
      <c r="C775" s="2"/>
      <c r="D775" s="2"/>
      <c r="E775" s="2"/>
      <c r="F775" s="2"/>
    </row>
    <row r="776" spans="1:6" ht="15.75" customHeight="1">
      <c r="A776" s="2"/>
      <c r="B776" s="2"/>
      <c r="C776" s="2"/>
      <c r="D776" s="2"/>
      <c r="E776" s="2"/>
      <c r="F776" s="2"/>
    </row>
    <row r="777" spans="1:6" ht="15.75" customHeight="1">
      <c r="A777" s="2"/>
      <c r="B777" s="2"/>
      <c r="C777" s="2"/>
      <c r="D777" s="2"/>
      <c r="E777" s="2"/>
      <c r="F777" s="2"/>
    </row>
    <row r="778" spans="1:6" ht="15.75" customHeight="1">
      <c r="A778" s="2"/>
      <c r="B778" s="2"/>
      <c r="C778" s="2"/>
      <c r="D778" s="2"/>
      <c r="E778" s="2"/>
      <c r="F778" s="2"/>
    </row>
    <row r="779" spans="1:6" ht="15.75" customHeight="1">
      <c r="A779" s="2"/>
      <c r="B779" s="2"/>
      <c r="C779" s="2"/>
      <c r="D779" s="2"/>
      <c r="E779" s="2"/>
      <c r="F779" s="2"/>
    </row>
    <row r="780" spans="1:6" ht="15.75" customHeight="1">
      <c r="A780" s="2"/>
      <c r="B780" s="2"/>
      <c r="C780" s="2"/>
      <c r="D780" s="2"/>
      <c r="E780" s="2"/>
      <c r="F780" s="2"/>
    </row>
    <row r="781" spans="1:6" ht="15.75" customHeight="1">
      <c r="A781" s="2"/>
      <c r="B781" s="2"/>
      <c r="C781" s="2"/>
      <c r="D781" s="2"/>
      <c r="E781" s="2"/>
      <c r="F781" s="2"/>
    </row>
    <row r="782" spans="1:6" ht="15.75" customHeight="1">
      <c r="A782" s="2"/>
      <c r="B782" s="2"/>
      <c r="C782" s="2"/>
      <c r="D782" s="2"/>
      <c r="E782" s="2"/>
      <c r="F782" s="2"/>
    </row>
    <row r="783" spans="1:6" ht="15.75" customHeight="1">
      <c r="A783" s="2"/>
      <c r="B783" s="2"/>
      <c r="C783" s="2"/>
      <c r="D783" s="2"/>
      <c r="E783" s="2"/>
      <c r="F783" s="2"/>
    </row>
    <row r="784" spans="1:6" ht="15.75" customHeight="1">
      <c r="A784" s="2"/>
      <c r="B784" s="2"/>
      <c r="C784" s="2"/>
      <c r="D784" s="2"/>
      <c r="E784" s="2"/>
      <c r="F784" s="2"/>
    </row>
    <row r="785" spans="1:6" ht="15.75" customHeight="1">
      <c r="A785" s="2"/>
      <c r="B785" s="2"/>
      <c r="C785" s="2"/>
      <c r="D785" s="2"/>
      <c r="E785" s="2"/>
      <c r="F785" s="2"/>
    </row>
    <row r="786" spans="1:6" ht="15.75" customHeight="1">
      <c r="A786" s="2"/>
      <c r="B786" s="2"/>
      <c r="C786" s="2"/>
      <c r="D786" s="2"/>
      <c r="E786" s="2"/>
      <c r="F786" s="2"/>
    </row>
    <row r="787" spans="1:6" ht="15.75" customHeight="1">
      <c r="A787" s="2"/>
      <c r="B787" s="2"/>
      <c r="C787" s="2"/>
      <c r="D787" s="2"/>
      <c r="E787" s="2"/>
      <c r="F787" s="2"/>
    </row>
    <row r="788" spans="1:6" ht="15.75" customHeight="1">
      <c r="A788" s="2"/>
      <c r="B788" s="2"/>
      <c r="C788" s="2"/>
      <c r="D788" s="2"/>
      <c r="E788" s="2"/>
      <c r="F788" s="2"/>
    </row>
    <row r="789" spans="1:6" ht="15.75" customHeight="1">
      <c r="A789" s="2"/>
      <c r="B789" s="2"/>
      <c r="C789" s="2"/>
      <c r="D789" s="2"/>
      <c r="E789" s="2"/>
      <c r="F789" s="2"/>
    </row>
    <row r="790" spans="1:6" ht="15.75" customHeight="1">
      <c r="A790" s="2"/>
      <c r="B790" s="2"/>
      <c r="C790" s="2"/>
      <c r="D790" s="2"/>
      <c r="E790" s="2"/>
      <c r="F790" s="2"/>
    </row>
    <row r="791" spans="1:6" ht="15.75" customHeight="1">
      <c r="A791" s="2"/>
      <c r="B791" s="2"/>
      <c r="C791" s="2"/>
      <c r="D791" s="2"/>
      <c r="E791" s="2"/>
      <c r="F791" s="2"/>
    </row>
    <row r="792" spans="1:6" ht="15.75" customHeight="1">
      <c r="A792" s="2"/>
      <c r="B792" s="2"/>
      <c r="C792" s="2"/>
      <c r="D792" s="2"/>
      <c r="E792" s="2"/>
      <c r="F792" s="2"/>
    </row>
    <row r="793" spans="1:6" ht="15.75" customHeight="1">
      <c r="A793" s="2"/>
      <c r="B793" s="2"/>
      <c r="C793" s="2"/>
      <c r="D793" s="2"/>
      <c r="E793" s="2"/>
      <c r="F793" s="2"/>
    </row>
    <row r="794" spans="1:6" ht="15.75" customHeight="1">
      <c r="A794" s="2"/>
      <c r="B794" s="2"/>
      <c r="C794" s="2"/>
      <c r="D794" s="2"/>
      <c r="E794" s="2"/>
      <c r="F794" s="2"/>
    </row>
    <row r="795" spans="1:6" ht="15.75" customHeight="1">
      <c r="A795" s="2"/>
      <c r="B795" s="2"/>
      <c r="C795" s="2"/>
      <c r="D795" s="2"/>
      <c r="E795" s="2"/>
      <c r="F795" s="2"/>
    </row>
    <row r="796" spans="1:6" ht="15.75" customHeight="1">
      <c r="A796" s="2"/>
      <c r="B796" s="2"/>
      <c r="C796" s="2"/>
      <c r="D796" s="2"/>
      <c r="E796" s="2"/>
      <c r="F796" s="2"/>
    </row>
    <row r="797" spans="1:6" ht="15.75" customHeight="1">
      <c r="A797" s="2"/>
      <c r="B797" s="2"/>
      <c r="C797" s="2"/>
      <c r="D797" s="2"/>
      <c r="E797" s="2"/>
      <c r="F797" s="2"/>
    </row>
    <row r="798" spans="1:6" ht="15.75" customHeight="1">
      <c r="A798" s="2"/>
      <c r="B798" s="2"/>
      <c r="C798" s="2"/>
      <c r="D798" s="2"/>
      <c r="E798" s="2"/>
      <c r="F798" s="2"/>
    </row>
    <row r="799" spans="1:6" ht="15.75" customHeight="1">
      <c r="A799" s="2"/>
      <c r="B799" s="2"/>
      <c r="C799" s="2"/>
      <c r="D799" s="2"/>
      <c r="E799" s="2"/>
      <c r="F799" s="2"/>
    </row>
    <row r="800" spans="1:6" ht="15.75" customHeight="1">
      <c r="A800" s="2"/>
      <c r="B800" s="2"/>
      <c r="C800" s="2"/>
      <c r="D800" s="2"/>
      <c r="E800" s="2"/>
      <c r="F800" s="2"/>
    </row>
    <row r="801" spans="1:6" ht="15.75" customHeight="1">
      <c r="A801" s="2"/>
      <c r="B801" s="2"/>
      <c r="C801" s="2"/>
      <c r="D801" s="2"/>
      <c r="E801" s="2"/>
      <c r="F801" s="2"/>
    </row>
    <row r="802" spans="1:6" ht="15.75" customHeight="1">
      <c r="A802" s="2"/>
      <c r="B802" s="2"/>
      <c r="C802" s="2"/>
      <c r="D802" s="2"/>
      <c r="E802" s="2"/>
      <c r="F802" s="2"/>
    </row>
    <row r="803" spans="1:6" ht="15.75" customHeight="1">
      <c r="A803" s="2"/>
      <c r="B803" s="2"/>
      <c r="C803" s="2"/>
      <c r="D803" s="2"/>
      <c r="E803" s="2"/>
      <c r="F803" s="2"/>
    </row>
    <row r="804" spans="1:6" ht="15.75" customHeight="1">
      <c r="A804" s="2"/>
      <c r="B804" s="2"/>
      <c r="C804" s="2"/>
      <c r="D804" s="2"/>
      <c r="E804" s="2"/>
      <c r="F804" s="2"/>
    </row>
    <row r="805" spans="1:6" ht="15.75" customHeight="1">
      <c r="A805" s="2"/>
      <c r="B805" s="2"/>
      <c r="C805" s="2"/>
      <c r="D805" s="2"/>
      <c r="E805" s="2"/>
      <c r="F805" s="2"/>
    </row>
    <row r="806" spans="1:6" ht="15.75" customHeight="1">
      <c r="A806" s="2"/>
      <c r="B806" s="2"/>
      <c r="C806" s="2"/>
      <c r="D806" s="2"/>
      <c r="E806" s="2"/>
      <c r="F806" s="2"/>
    </row>
    <row r="807" spans="1:6" ht="15.75" customHeight="1">
      <c r="A807" s="2"/>
      <c r="B807" s="2"/>
      <c r="C807" s="2"/>
      <c r="D807" s="2"/>
      <c r="E807" s="2"/>
      <c r="F807" s="2"/>
    </row>
    <row r="808" spans="1:6" ht="15.75" customHeight="1">
      <c r="A808" s="2"/>
      <c r="B808" s="2"/>
      <c r="C808" s="2"/>
      <c r="D808" s="2"/>
      <c r="E808" s="2"/>
      <c r="F808" s="2"/>
    </row>
    <row r="809" spans="1:6" ht="15.75" customHeight="1">
      <c r="A809" s="2"/>
      <c r="B809" s="2"/>
      <c r="C809" s="2"/>
      <c r="D809" s="2"/>
      <c r="E809" s="2"/>
      <c r="F809" s="2"/>
    </row>
    <row r="810" spans="1:6" ht="15.75" customHeight="1">
      <c r="A810" s="2"/>
      <c r="B810" s="2"/>
      <c r="C810" s="2"/>
      <c r="D810" s="2"/>
      <c r="E810" s="2"/>
      <c r="F810" s="2"/>
    </row>
    <row r="811" spans="1:6" ht="15.75" customHeight="1">
      <c r="A811" s="2"/>
      <c r="B811" s="2"/>
      <c r="C811" s="2"/>
      <c r="D811" s="2"/>
      <c r="E811" s="2"/>
      <c r="F811" s="2"/>
    </row>
    <row r="812" spans="1:6" ht="15.75" customHeight="1">
      <c r="A812" s="2"/>
      <c r="B812" s="2"/>
      <c r="C812" s="2"/>
      <c r="D812" s="2"/>
      <c r="E812" s="2"/>
      <c r="F812" s="2"/>
    </row>
    <row r="813" spans="1:6" ht="15.75" customHeight="1">
      <c r="A813" s="2"/>
      <c r="B813" s="2"/>
      <c r="C813" s="2"/>
      <c r="D813" s="2"/>
      <c r="E813" s="2"/>
      <c r="F813" s="2"/>
    </row>
    <row r="814" spans="1:6" ht="15.75" customHeight="1">
      <c r="A814" s="2"/>
      <c r="B814" s="2"/>
      <c r="C814" s="2"/>
      <c r="D814" s="2"/>
      <c r="E814" s="2"/>
      <c r="F814" s="2"/>
    </row>
    <row r="815" spans="1:6" ht="15.75" customHeight="1">
      <c r="A815" s="2"/>
      <c r="B815" s="2"/>
      <c r="C815" s="2"/>
      <c r="D815" s="2"/>
      <c r="E815" s="2"/>
      <c r="F815" s="2"/>
    </row>
    <row r="816" spans="1:6" ht="15.75" customHeight="1">
      <c r="A816" s="2"/>
      <c r="B816" s="2"/>
      <c r="C816" s="2"/>
      <c r="D816" s="2"/>
      <c r="E816" s="2"/>
      <c r="F816" s="2"/>
    </row>
    <row r="817" spans="1:6" ht="15.75" customHeight="1">
      <c r="A817" s="2"/>
      <c r="B817" s="2"/>
      <c r="C817" s="2"/>
      <c r="D817" s="2"/>
      <c r="E817" s="2"/>
      <c r="F817" s="2"/>
    </row>
    <row r="818" spans="1:6" ht="15.75" customHeight="1">
      <c r="A818" s="2"/>
      <c r="B818" s="2"/>
      <c r="C818" s="2"/>
      <c r="D818" s="2"/>
      <c r="E818" s="2"/>
      <c r="F818" s="2"/>
    </row>
    <row r="819" spans="1:6" ht="15.75" customHeight="1">
      <c r="A819" s="2"/>
      <c r="B819" s="2"/>
      <c r="C819" s="2"/>
      <c r="D819" s="2"/>
      <c r="E819" s="2"/>
      <c r="F819" s="2"/>
    </row>
    <row r="820" spans="1:6" ht="15.75" customHeight="1">
      <c r="A820" s="2"/>
      <c r="B820" s="2"/>
      <c r="C820" s="2"/>
      <c r="D820" s="2"/>
      <c r="E820" s="2"/>
      <c r="F820" s="2"/>
    </row>
    <row r="821" spans="1:6" ht="15.75" customHeight="1">
      <c r="A821" s="2"/>
      <c r="B821" s="2"/>
      <c r="C821" s="2"/>
      <c r="D821" s="2"/>
      <c r="E821" s="2"/>
      <c r="F821" s="2"/>
    </row>
    <row r="822" spans="1:6" ht="15.75" customHeight="1">
      <c r="A822" s="2"/>
      <c r="B822" s="2"/>
      <c r="C822" s="2"/>
      <c r="D822" s="2"/>
      <c r="E822" s="2"/>
      <c r="F822" s="2"/>
    </row>
    <row r="823" spans="1:6" ht="15.75" customHeight="1">
      <c r="A823" s="2"/>
      <c r="B823" s="2"/>
      <c r="C823" s="2"/>
      <c r="D823" s="2"/>
      <c r="E823" s="2"/>
      <c r="F823" s="2"/>
    </row>
    <row r="824" spans="1:6" ht="15.75" customHeight="1">
      <c r="A824" s="2"/>
      <c r="B824" s="2"/>
      <c r="C824" s="2"/>
      <c r="D824" s="2"/>
      <c r="E824" s="2"/>
      <c r="F824" s="2"/>
    </row>
    <row r="825" spans="1:6" ht="15.75" customHeight="1">
      <c r="A825" s="2"/>
      <c r="B825" s="2"/>
      <c r="C825" s="2"/>
      <c r="D825" s="2"/>
      <c r="E825" s="2"/>
      <c r="F825" s="2"/>
    </row>
    <row r="826" spans="1:6" ht="15.75" customHeight="1">
      <c r="A826" s="2"/>
      <c r="B826" s="2"/>
      <c r="C826" s="2"/>
      <c r="D826" s="2"/>
      <c r="E826" s="2"/>
      <c r="F826" s="2"/>
    </row>
    <row r="827" spans="1:6" ht="15.75" customHeight="1">
      <c r="A827" s="2"/>
      <c r="B827" s="2"/>
      <c r="C827" s="2"/>
      <c r="D827" s="2"/>
      <c r="E827" s="2"/>
      <c r="F827" s="2"/>
    </row>
    <row r="828" spans="1:6" ht="15.75" customHeight="1">
      <c r="A828" s="2"/>
      <c r="B828" s="2"/>
      <c r="C828" s="2"/>
      <c r="D828" s="2"/>
      <c r="E828" s="2"/>
      <c r="F828" s="2"/>
    </row>
    <row r="829" spans="1:6" ht="15.75" customHeight="1">
      <c r="A829" s="2"/>
      <c r="B829" s="2"/>
      <c r="C829" s="2"/>
      <c r="D829" s="2"/>
      <c r="E829" s="2"/>
      <c r="F829" s="2"/>
    </row>
    <row r="830" spans="1:6" ht="15.75" customHeight="1">
      <c r="A830" s="2"/>
      <c r="B830" s="2"/>
      <c r="C830" s="2"/>
      <c r="D830" s="2"/>
      <c r="E830" s="2"/>
      <c r="F830" s="2"/>
    </row>
    <row r="831" spans="1:6" ht="15.75" customHeight="1">
      <c r="A831" s="2"/>
      <c r="B831" s="2"/>
      <c r="C831" s="2"/>
      <c r="D831" s="2"/>
      <c r="E831" s="2"/>
      <c r="F831" s="2"/>
    </row>
    <row r="832" spans="1:6" ht="15.75" customHeight="1">
      <c r="A832" s="2"/>
      <c r="B832" s="2"/>
      <c r="C832" s="2"/>
      <c r="D832" s="2"/>
      <c r="E832" s="2"/>
      <c r="F832" s="2"/>
    </row>
    <row r="833" spans="1:6" ht="15.75" customHeight="1">
      <c r="A833" s="2"/>
      <c r="B833" s="2"/>
      <c r="C833" s="2"/>
      <c r="D833" s="2"/>
      <c r="E833" s="2"/>
      <c r="F833" s="2"/>
    </row>
    <row r="834" spans="1:6" ht="15.75" customHeight="1">
      <c r="A834" s="2"/>
      <c r="B834" s="2"/>
      <c r="C834" s="2"/>
      <c r="D834" s="2"/>
      <c r="E834" s="2"/>
      <c r="F834" s="2"/>
    </row>
    <row r="835" spans="1:6" ht="15.75" customHeight="1">
      <c r="A835" s="2"/>
      <c r="B835" s="2"/>
      <c r="C835" s="2"/>
      <c r="D835" s="2"/>
      <c r="E835" s="2"/>
      <c r="F835" s="2"/>
    </row>
    <row r="836" spans="1:6" ht="15.75" customHeight="1">
      <c r="A836" s="2"/>
      <c r="B836" s="2"/>
      <c r="C836" s="2"/>
      <c r="D836" s="2"/>
      <c r="E836" s="2"/>
      <c r="F836" s="2"/>
    </row>
    <row r="837" spans="1:6" ht="15.75" customHeight="1">
      <c r="A837" s="2"/>
      <c r="B837" s="2"/>
      <c r="C837" s="2"/>
      <c r="D837" s="2"/>
      <c r="E837" s="2"/>
      <c r="F837" s="2"/>
    </row>
    <row r="838" spans="1:6" ht="15.75" customHeight="1">
      <c r="A838" s="2"/>
      <c r="B838" s="2"/>
      <c r="C838" s="2"/>
      <c r="D838" s="2"/>
      <c r="E838" s="2"/>
      <c r="F838" s="2"/>
    </row>
    <row r="839" spans="1:6" ht="15.75" customHeight="1">
      <c r="A839" s="2"/>
      <c r="B839" s="2"/>
      <c r="C839" s="2"/>
      <c r="D839" s="2"/>
      <c r="E839" s="2"/>
      <c r="F839" s="2"/>
    </row>
    <row r="840" spans="1:6" ht="15.75" customHeight="1">
      <c r="A840" s="2"/>
      <c r="B840" s="2"/>
      <c r="C840" s="2"/>
      <c r="D840" s="2"/>
      <c r="E840" s="2"/>
      <c r="F840" s="2"/>
    </row>
    <row r="841" spans="1:6" ht="15.75" customHeight="1">
      <c r="A841" s="2"/>
      <c r="B841" s="2"/>
      <c r="C841" s="2"/>
      <c r="D841" s="2"/>
      <c r="E841" s="2"/>
      <c r="F841" s="2"/>
    </row>
    <row r="842" spans="1:6" ht="15.75" customHeight="1">
      <c r="A842" s="2"/>
      <c r="B842" s="2"/>
      <c r="C842" s="2"/>
      <c r="D842" s="2"/>
      <c r="E842" s="2"/>
      <c r="F842" s="2"/>
    </row>
    <row r="843" spans="1:6" ht="15.75" customHeight="1">
      <c r="A843" s="2"/>
      <c r="B843" s="2"/>
      <c r="C843" s="2"/>
      <c r="D843" s="2"/>
      <c r="E843" s="2"/>
      <c r="F843" s="2"/>
    </row>
    <row r="844" spans="1:6" ht="15.75" customHeight="1">
      <c r="A844" s="2"/>
      <c r="B844" s="2"/>
      <c r="C844" s="2"/>
      <c r="D844" s="2"/>
      <c r="E844" s="2"/>
      <c r="F844" s="2"/>
    </row>
    <row r="845" spans="1:6" ht="15.75" customHeight="1">
      <c r="A845" s="2"/>
      <c r="B845" s="2"/>
      <c r="C845" s="2"/>
      <c r="D845" s="2"/>
      <c r="E845" s="2"/>
      <c r="F845" s="2"/>
    </row>
    <row r="846" spans="1:6" ht="15.75" customHeight="1">
      <c r="A846" s="2"/>
      <c r="B846" s="2"/>
      <c r="C846" s="2"/>
      <c r="D846" s="2"/>
      <c r="E846" s="2"/>
      <c r="F846" s="2"/>
    </row>
    <row r="847" spans="1:6" ht="15.75" customHeight="1">
      <c r="A847" s="2"/>
      <c r="B847" s="2"/>
      <c r="C847" s="2"/>
      <c r="D847" s="2"/>
      <c r="E847" s="2"/>
      <c r="F847" s="2"/>
    </row>
    <row r="848" spans="1:6" ht="15.75" customHeight="1">
      <c r="A848" s="2"/>
      <c r="B848" s="2"/>
      <c r="C848" s="2"/>
      <c r="D848" s="2"/>
      <c r="E848" s="2"/>
      <c r="F848" s="2"/>
    </row>
    <row r="849" spans="1:6" ht="15.75" customHeight="1">
      <c r="A849" s="2"/>
      <c r="B849" s="2"/>
      <c r="C849" s="2"/>
      <c r="D849" s="2"/>
      <c r="E849" s="2"/>
      <c r="F849" s="2"/>
    </row>
    <row r="850" spans="1:6" ht="15.75" customHeight="1">
      <c r="A850" s="2"/>
      <c r="B850" s="2"/>
      <c r="C850" s="2"/>
      <c r="D850" s="2"/>
      <c r="E850" s="2"/>
      <c r="F850" s="2"/>
    </row>
    <row r="851" spans="1:6" ht="15.75" customHeight="1">
      <c r="A851" s="2"/>
      <c r="B851" s="2"/>
      <c r="C851" s="2"/>
      <c r="D851" s="2"/>
      <c r="E851" s="2"/>
      <c r="F851" s="2"/>
    </row>
    <row r="852" spans="1:6" ht="15.75" customHeight="1">
      <c r="A852" s="2"/>
      <c r="B852" s="2"/>
      <c r="C852" s="2"/>
      <c r="D852" s="2"/>
      <c r="E852" s="2"/>
      <c r="F852" s="2"/>
    </row>
    <row r="853" spans="1:6" ht="15.75" customHeight="1">
      <c r="A853" s="2"/>
      <c r="B853" s="2"/>
      <c r="C853" s="2"/>
      <c r="D853" s="2"/>
      <c r="E853" s="2"/>
      <c r="F853" s="2"/>
    </row>
    <row r="854" spans="1:6" ht="15.75" customHeight="1">
      <c r="A854" s="2"/>
      <c r="B854" s="2"/>
      <c r="C854" s="2"/>
      <c r="D854" s="2"/>
      <c r="E854" s="2"/>
      <c r="F854" s="2"/>
    </row>
    <row r="855" spans="1:6" ht="15.75" customHeight="1">
      <c r="A855" s="2"/>
      <c r="B855" s="2"/>
      <c r="C855" s="2"/>
      <c r="D855" s="2"/>
      <c r="E855" s="2"/>
      <c r="F855" s="2"/>
    </row>
    <row r="856" spans="1:6" ht="15.75" customHeight="1">
      <c r="A856" s="2"/>
      <c r="B856" s="2"/>
      <c r="C856" s="2"/>
      <c r="D856" s="2"/>
      <c r="E856" s="2"/>
      <c r="F856" s="2"/>
    </row>
    <row r="857" spans="1:6" ht="15.75" customHeight="1">
      <c r="A857" s="2"/>
      <c r="B857" s="2"/>
      <c r="C857" s="2"/>
      <c r="D857" s="2"/>
      <c r="E857" s="2"/>
      <c r="F857" s="2"/>
    </row>
    <row r="858" spans="1:6" ht="15.75" customHeight="1">
      <c r="A858" s="2"/>
      <c r="B858" s="2"/>
      <c r="C858" s="2"/>
      <c r="D858" s="2"/>
      <c r="E858" s="2"/>
      <c r="F858" s="2"/>
    </row>
    <row r="859" spans="1:6" ht="15.75" customHeight="1">
      <c r="A859" s="2"/>
      <c r="B859" s="2"/>
      <c r="C859" s="2"/>
      <c r="D859" s="2"/>
      <c r="E859" s="2"/>
      <c r="F859" s="2"/>
    </row>
    <row r="860" spans="1:6" ht="15.75" customHeight="1">
      <c r="A860" s="2"/>
      <c r="B860" s="2"/>
      <c r="C860" s="2"/>
      <c r="D860" s="2"/>
      <c r="E860" s="2"/>
      <c r="F860" s="2"/>
    </row>
    <row r="861" spans="1:6" ht="15.75" customHeight="1">
      <c r="A861" s="2"/>
      <c r="B861" s="2"/>
      <c r="C861" s="2"/>
      <c r="D861" s="2"/>
      <c r="E861" s="2"/>
      <c r="F861" s="2"/>
    </row>
    <row r="862" spans="1:6" ht="15.75" customHeight="1">
      <c r="A862" s="2"/>
      <c r="B862" s="2"/>
      <c r="C862" s="2"/>
      <c r="D862" s="2"/>
      <c r="E862" s="2"/>
      <c r="F862" s="2"/>
    </row>
    <row r="863" spans="1:6" ht="15.75" customHeight="1">
      <c r="A863" s="2"/>
      <c r="B863" s="2"/>
      <c r="C863" s="2"/>
      <c r="D863" s="2"/>
      <c r="E863" s="2"/>
      <c r="F863" s="2"/>
    </row>
    <row r="864" spans="1:6" ht="15.75" customHeight="1">
      <c r="A864" s="2"/>
      <c r="B864" s="2"/>
      <c r="C864" s="2"/>
      <c r="D864" s="2"/>
      <c r="E864" s="2"/>
      <c r="F864" s="2"/>
    </row>
    <row r="865" spans="1:6" ht="15.75" customHeight="1">
      <c r="A865" s="2"/>
      <c r="B865" s="2"/>
      <c r="C865" s="2"/>
      <c r="D865" s="2"/>
      <c r="E865" s="2"/>
      <c r="F865" s="2"/>
    </row>
    <row r="866" spans="1:6" ht="15.75" customHeight="1">
      <c r="A866" s="2"/>
      <c r="B866" s="2"/>
      <c r="C866" s="2"/>
      <c r="D866" s="2"/>
      <c r="E866" s="2"/>
      <c r="F866" s="2"/>
    </row>
    <row r="867" spans="1:6" ht="15.75" customHeight="1">
      <c r="A867" s="2"/>
      <c r="B867" s="2"/>
      <c r="C867" s="2"/>
      <c r="D867" s="2"/>
      <c r="E867" s="2"/>
      <c r="F867" s="2"/>
    </row>
    <row r="868" spans="1:6" ht="15.75" customHeight="1">
      <c r="A868" s="2"/>
      <c r="B868" s="2"/>
      <c r="C868" s="2"/>
      <c r="D868" s="2"/>
      <c r="E868" s="2"/>
      <c r="F868" s="2"/>
    </row>
    <row r="869" spans="1:6" ht="15.75" customHeight="1">
      <c r="A869" s="2"/>
      <c r="B869" s="2"/>
      <c r="C869" s="2"/>
      <c r="D869" s="2"/>
      <c r="E869" s="2"/>
      <c r="F869" s="2"/>
    </row>
    <row r="870" spans="1:6" ht="15.75" customHeight="1">
      <c r="A870" s="2"/>
      <c r="B870" s="2"/>
      <c r="C870" s="2"/>
      <c r="D870" s="2"/>
      <c r="E870" s="2"/>
      <c r="F870" s="2"/>
    </row>
    <row r="871" spans="1:6" ht="15.75" customHeight="1">
      <c r="A871" s="2"/>
      <c r="B871" s="2"/>
      <c r="C871" s="2"/>
      <c r="D871" s="2"/>
      <c r="E871" s="2"/>
      <c r="F871" s="2"/>
    </row>
    <row r="872" spans="1:6" ht="15.75" customHeight="1">
      <c r="A872" s="2"/>
      <c r="B872" s="2"/>
      <c r="C872" s="2"/>
      <c r="D872" s="2"/>
      <c r="E872" s="2"/>
      <c r="F872" s="2"/>
    </row>
    <row r="873" spans="1:6" ht="15.75" customHeight="1">
      <c r="A873" s="2"/>
      <c r="B873" s="2"/>
      <c r="C873" s="2"/>
      <c r="D873" s="2"/>
      <c r="E873" s="2"/>
      <c r="F873" s="2"/>
    </row>
    <row r="874" spans="1:6" ht="15.75" customHeight="1">
      <c r="A874" s="2"/>
      <c r="B874" s="2"/>
      <c r="C874" s="2"/>
      <c r="D874" s="2"/>
      <c r="E874" s="2"/>
      <c r="F874" s="2"/>
    </row>
    <row r="875" spans="1:6" ht="15.75" customHeight="1">
      <c r="A875" s="2"/>
      <c r="B875" s="2"/>
      <c r="C875" s="2"/>
      <c r="D875" s="2"/>
      <c r="E875" s="2"/>
      <c r="F875" s="2"/>
    </row>
    <row r="876" spans="1:6" ht="15.75" customHeight="1">
      <c r="A876" s="2"/>
      <c r="B876" s="2"/>
      <c r="C876" s="2"/>
      <c r="D876" s="2"/>
      <c r="E876" s="2"/>
      <c r="F876" s="2"/>
    </row>
    <row r="877" spans="1:6" ht="15.75" customHeight="1">
      <c r="A877" s="2"/>
      <c r="B877" s="2"/>
      <c r="C877" s="2"/>
      <c r="D877" s="2"/>
      <c r="E877" s="2"/>
      <c r="F877" s="2"/>
    </row>
    <row r="878" spans="1:6" ht="15.75" customHeight="1">
      <c r="A878" s="2"/>
      <c r="B878" s="2"/>
      <c r="C878" s="2"/>
      <c r="D878" s="2"/>
      <c r="E878" s="2"/>
      <c r="F878" s="2"/>
    </row>
    <row r="879" spans="1:6" ht="15.75" customHeight="1">
      <c r="A879" s="2"/>
      <c r="B879" s="2"/>
      <c r="C879" s="2"/>
      <c r="D879" s="2"/>
      <c r="E879" s="2"/>
      <c r="F879" s="2"/>
    </row>
    <row r="880" spans="1:6" ht="15.75" customHeight="1">
      <c r="A880" s="2"/>
      <c r="B880" s="2"/>
      <c r="C880" s="2"/>
      <c r="D880" s="2"/>
      <c r="E880" s="2"/>
      <c r="F880" s="2"/>
    </row>
    <row r="881" spans="1:6" ht="15.75" customHeight="1">
      <c r="A881" s="2"/>
      <c r="B881" s="2"/>
      <c r="C881" s="2"/>
      <c r="D881" s="2"/>
      <c r="E881" s="2"/>
      <c r="F881" s="2"/>
    </row>
    <row r="882" spans="1:6" ht="15.75" customHeight="1">
      <c r="A882" s="2"/>
      <c r="B882" s="2"/>
      <c r="C882" s="2"/>
      <c r="D882" s="2"/>
      <c r="E882" s="2"/>
      <c r="F882" s="2"/>
    </row>
    <row r="883" spans="1:6" ht="15.75" customHeight="1">
      <c r="A883" s="2"/>
      <c r="B883" s="2"/>
      <c r="C883" s="2"/>
      <c r="D883" s="2"/>
      <c r="E883" s="2"/>
      <c r="F883" s="2"/>
    </row>
    <row r="884" spans="1:6" ht="15.75" customHeight="1">
      <c r="A884" s="2"/>
      <c r="B884" s="2"/>
      <c r="C884" s="2"/>
      <c r="D884" s="2"/>
      <c r="E884" s="2"/>
      <c r="F884" s="2"/>
    </row>
    <row r="885" spans="1:6" ht="15.75" customHeight="1">
      <c r="A885" s="2"/>
      <c r="B885" s="2"/>
      <c r="C885" s="2"/>
      <c r="D885" s="2"/>
      <c r="E885" s="2"/>
      <c r="F885" s="2"/>
    </row>
    <row r="886" spans="1:6" ht="15.75" customHeight="1">
      <c r="A886" s="2"/>
      <c r="B886" s="2"/>
      <c r="C886" s="2"/>
      <c r="D886" s="2"/>
      <c r="E886" s="2"/>
      <c r="F886" s="2"/>
    </row>
    <row r="887" spans="1:6" ht="15.75" customHeight="1">
      <c r="A887" s="2"/>
      <c r="B887" s="2"/>
      <c r="C887" s="2"/>
      <c r="D887" s="2"/>
      <c r="E887" s="2"/>
      <c r="F887" s="2"/>
    </row>
    <row r="888" spans="1:6" ht="15.75" customHeight="1">
      <c r="A888" s="2"/>
      <c r="B888" s="2"/>
      <c r="C888" s="2"/>
      <c r="D888" s="2"/>
      <c r="E888" s="2"/>
      <c r="F888" s="2"/>
    </row>
    <row r="889" spans="1:6" ht="15.75" customHeight="1">
      <c r="A889" s="2"/>
      <c r="B889" s="2"/>
      <c r="C889" s="2"/>
      <c r="D889" s="2"/>
      <c r="E889" s="2"/>
      <c r="F889" s="2"/>
    </row>
    <row r="890" spans="1:6" ht="15.75" customHeight="1">
      <c r="A890" s="2"/>
      <c r="B890" s="2"/>
      <c r="C890" s="2"/>
      <c r="D890" s="2"/>
      <c r="E890" s="2"/>
      <c r="F890" s="2"/>
    </row>
    <row r="891" spans="1:6" ht="15.75" customHeight="1">
      <c r="A891" s="2"/>
      <c r="B891" s="2"/>
      <c r="C891" s="2"/>
      <c r="D891" s="2"/>
      <c r="E891" s="2"/>
      <c r="F891" s="2"/>
    </row>
    <row r="892" spans="1:6" ht="15.75" customHeight="1">
      <c r="A892" s="2"/>
      <c r="B892" s="2"/>
      <c r="C892" s="2"/>
      <c r="D892" s="2"/>
      <c r="E892" s="2"/>
      <c r="F892" s="2"/>
    </row>
    <row r="893" spans="1:6" ht="15.75" customHeight="1">
      <c r="A893" s="2"/>
      <c r="B893" s="2"/>
      <c r="C893" s="2"/>
      <c r="D893" s="2"/>
      <c r="E893" s="2"/>
      <c r="F893" s="2"/>
    </row>
    <row r="894" spans="1:6" ht="15.75" customHeight="1">
      <c r="A894" s="2"/>
      <c r="B894" s="2"/>
      <c r="C894" s="2"/>
      <c r="D894" s="2"/>
      <c r="E894" s="2"/>
      <c r="F894" s="2"/>
    </row>
    <row r="895" spans="1:6" ht="15.75" customHeight="1">
      <c r="A895" s="2"/>
      <c r="B895" s="2"/>
      <c r="C895" s="2"/>
      <c r="D895" s="2"/>
      <c r="E895" s="2"/>
      <c r="F895" s="2"/>
    </row>
    <row r="896" spans="1:6" ht="15.75" customHeight="1">
      <c r="A896" s="2"/>
      <c r="B896" s="2"/>
      <c r="C896" s="2"/>
      <c r="D896" s="2"/>
      <c r="E896" s="2"/>
      <c r="F896" s="2"/>
    </row>
    <row r="897" spans="1:6" ht="15.75" customHeight="1">
      <c r="A897" s="2"/>
      <c r="B897" s="2"/>
      <c r="C897" s="2"/>
      <c r="D897" s="2"/>
      <c r="E897" s="2"/>
      <c r="F897" s="2"/>
    </row>
    <row r="898" spans="1:6" ht="15.75" customHeight="1">
      <c r="A898" s="2"/>
      <c r="B898" s="2"/>
      <c r="C898" s="2"/>
      <c r="D898" s="2"/>
      <c r="E898" s="2"/>
      <c r="F898" s="2"/>
    </row>
    <row r="899" spans="1:6" ht="15.75" customHeight="1">
      <c r="A899" s="2"/>
      <c r="B899" s="2"/>
      <c r="C899" s="2"/>
      <c r="D899" s="2"/>
      <c r="E899" s="2"/>
      <c r="F899" s="2"/>
    </row>
    <row r="900" spans="1:6" ht="15.75" customHeight="1">
      <c r="A900" s="2"/>
      <c r="B900" s="2"/>
      <c r="C900" s="2"/>
      <c r="D900" s="2"/>
      <c r="E900" s="2"/>
      <c r="F900" s="2"/>
    </row>
    <row r="901" spans="1:6" ht="15.75" customHeight="1">
      <c r="A901" s="2"/>
      <c r="B901" s="2"/>
      <c r="C901" s="2"/>
      <c r="D901" s="2"/>
      <c r="E901" s="2"/>
      <c r="F901" s="2"/>
    </row>
    <row r="902" spans="1:6" ht="15.75" customHeight="1">
      <c r="A902" s="2"/>
      <c r="B902" s="2"/>
      <c r="C902" s="2"/>
      <c r="D902" s="2"/>
      <c r="E902" s="2"/>
      <c r="F902" s="2"/>
    </row>
    <row r="903" spans="1:6" ht="15.75" customHeight="1">
      <c r="A903" s="2"/>
      <c r="B903" s="2"/>
      <c r="C903" s="2"/>
      <c r="D903" s="2"/>
      <c r="E903" s="2"/>
      <c r="F903" s="2"/>
    </row>
    <row r="904" spans="1:6" ht="15.75" customHeight="1">
      <c r="A904" s="2"/>
      <c r="B904" s="2"/>
      <c r="C904" s="2"/>
      <c r="D904" s="2"/>
      <c r="E904" s="2"/>
      <c r="F904" s="2"/>
    </row>
    <row r="905" spans="1:6" ht="15.75" customHeight="1">
      <c r="A905" s="2"/>
      <c r="B905" s="2"/>
      <c r="C905" s="2"/>
      <c r="D905" s="2"/>
      <c r="E905" s="2"/>
      <c r="F905" s="2"/>
    </row>
    <row r="906" spans="1:6" ht="15.75" customHeight="1">
      <c r="A906" s="2"/>
      <c r="B906" s="2"/>
      <c r="C906" s="2"/>
      <c r="D906" s="2"/>
      <c r="E906" s="2"/>
      <c r="F906" s="2"/>
    </row>
    <row r="907" spans="1:6" ht="15.75" customHeight="1">
      <c r="A907" s="2"/>
      <c r="B907" s="2"/>
      <c r="C907" s="2"/>
      <c r="D907" s="2"/>
      <c r="E907" s="2"/>
      <c r="F907" s="2"/>
    </row>
    <row r="908" spans="1:6" ht="15.75" customHeight="1">
      <c r="A908" s="2"/>
      <c r="B908" s="2"/>
      <c r="C908" s="2"/>
      <c r="D908" s="2"/>
      <c r="E908" s="2"/>
      <c r="F908" s="2"/>
    </row>
    <row r="909" spans="1:6" ht="15.75" customHeight="1">
      <c r="A909" s="2"/>
      <c r="B909" s="2"/>
      <c r="C909" s="2"/>
      <c r="D909" s="2"/>
      <c r="E909" s="2"/>
      <c r="F909" s="2"/>
    </row>
    <row r="910" spans="1:6" ht="15.75" customHeight="1">
      <c r="A910" s="2"/>
      <c r="B910" s="2"/>
      <c r="C910" s="2"/>
      <c r="D910" s="2"/>
      <c r="E910" s="2"/>
      <c r="F910" s="2"/>
    </row>
    <row r="911" spans="1:6" ht="15.75" customHeight="1">
      <c r="A911" s="2"/>
      <c r="B911" s="2"/>
      <c r="C911" s="2"/>
      <c r="D911" s="2"/>
      <c r="E911" s="2"/>
      <c r="F911" s="2"/>
    </row>
    <row r="912" spans="1:6" ht="15.75" customHeight="1">
      <c r="A912" s="2"/>
      <c r="B912" s="2"/>
      <c r="C912" s="2"/>
      <c r="D912" s="2"/>
      <c r="E912" s="2"/>
      <c r="F912" s="2"/>
    </row>
    <row r="913" spans="1:6" ht="15.75" customHeight="1">
      <c r="A913" s="2"/>
      <c r="B913" s="2"/>
      <c r="C913" s="2"/>
      <c r="D913" s="2"/>
      <c r="E913" s="2"/>
      <c r="F913" s="2"/>
    </row>
    <row r="914" spans="1:6" ht="15.75" customHeight="1">
      <c r="A914" s="2"/>
      <c r="B914" s="2"/>
      <c r="C914" s="2"/>
      <c r="D914" s="2"/>
      <c r="E914" s="2"/>
      <c r="F914" s="2"/>
    </row>
    <row r="915" spans="1:6" ht="15.75" customHeight="1">
      <c r="A915" s="2"/>
      <c r="B915" s="2"/>
      <c r="C915" s="2"/>
      <c r="D915" s="2"/>
      <c r="E915" s="2"/>
      <c r="F915" s="2"/>
    </row>
    <row r="916" spans="1:6" ht="15.75" customHeight="1">
      <c r="A916" s="2"/>
      <c r="B916" s="2"/>
      <c r="C916" s="2"/>
      <c r="D916" s="2"/>
      <c r="E916" s="2"/>
      <c r="F916" s="2"/>
    </row>
    <row r="917" spans="1:6" ht="15.75" customHeight="1">
      <c r="A917" s="2"/>
      <c r="B917" s="2"/>
      <c r="C917" s="2"/>
      <c r="D917" s="2"/>
      <c r="E917" s="2"/>
      <c r="F917" s="2"/>
    </row>
    <row r="918" spans="1:6" ht="15.75" customHeight="1">
      <c r="A918" s="2"/>
      <c r="B918" s="2"/>
      <c r="C918" s="2"/>
      <c r="D918" s="2"/>
      <c r="E918" s="2"/>
      <c r="F918" s="2"/>
    </row>
    <row r="919" spans="1:6" ht="15.75" customHeight="1">
      <c r="A919" s="2"/>
      <c r="B919" s="2"/>
      <c r="C919" s="2"/>
      <c r="D919" s="2"/>
      <c r="E919" s="2"/>
      <c r="F919" s="2"/>
    </row>
    <row r="920" spans="1:6" ht="15.75" customHeight="1">
      <c r="A920" s="2"/>
      <c r="B920" s="2"/>
      <c r="C920" s="2"/>
      <c r="D920" s="2"/>
      <c r="E920" s="2"/>
      <c r="F920" s="2"/>
    </row>
    <row r="921" spans="1:6" ht="15.75" customHeight="1">
      <c r="A921" s="2"/>
      <c r="B921" s="2"/>
      <c r="C921" s="2"/>
      <c r="D921" s="2"/>
      <c r="E921" s="2"/>
      <c r="F921" s="2"/>
    </row>
    <row r="922" spans="1:6" ht="15.75" customHeight="1">
      <c r="A922" s="2"/>
      <c r="B922" s="2"/>
      <c r="C922" s="2"/>
      <c r="D922" s="2"/>
      <c r="E922" s="2"/>
      <c r="F922" s="2"/>
    </row>
    <row r="923" spans="1:6" ht="15.75" customHeight="1">
      <c r="A923" s="2"/>
      <c r="B923" s="2"/>
      <c r="C923" s="2"/>
      <c r="D923" s="2"/>
      <c r="E923" s="2"/>
      <c r="F923" s="2"/>
    </row>
    <row r="924" spans="1:6" ht="15.75" customHeight="1">
      <c r="A924" s="2"/>
      <c r="B924" s="2"/>
      <c r="C924" s="2"/>
      <c r="D924" s="2"/>
      <c r="E924" s="2"/>
      <c r="F924" s="2"/>
    </row>
    <row r="925" spans="1:6" ht="15.75" customHeight="1">
      <c r="A925" s="2"/>
      <c r="B925" s="2"/>
      <c r="C925" s="2"/>
      <c r="D925" s="2"/>
      <c r="E925" s="2"/>
      <c r="F925" s="2"/>
    </row>
    <row r="926" spans="1:6" ht="15.75" customHeight="1">
      <c r="A926" s="2"/>
      <c r="B926" s="2"/>
      <c r="C926" s="2"/>
      <c r="D926" s="2"/>
      <c r="E926" s="2"/>
      <c r="F926" s="2"/>
    </row>
    <row r="927" spans="1:6" ht="15.75" customHeight="1">
      <c r="A927" s="2"/>
      <c r="B927" s="2"/>
      <c r="C927" s="2"/>
      <c r="D927" s="2"/>
      <c r="E927" s="2"/>
      <c r="F927" s="2"/>
    </row>
    <row r="928" spans="1:6" ht="15.75" customHeight="1">
      <c r="A928" s="2"/>
      <c r="B928" s="2"/>
      <c r="C928" s="2"/>
      <c r="D928" s="2"/>
      <c r="E928" s="2"/>
      <c r="F928" s="2"/>
    </row>
    <row r="929" spans="1:6" ht="15.75" customHeight="1">
      <c r="A929" s="2"/>
      <c r="B929" s="2"/>
      <c r="C929" s="2"/>
      <c r="D929" s="2"/>
      <c r="E929" s="2"/>
      <c r="F929" s="2"/>
    </row>
    <row r="930" spans="1:6" ht="15.75" customHeight="1">
      <c r="A930" s="2"/>
      <c r="B930" s="2"/>
      <c r="C930" s="2"/>
      <c r="D930" s="2"/>
      <c r="E930" s="2"/>
      <c r="F930" s="2"/>
    </row>
    <row r="931" spans="1:6" ht="15.75" customHeight="1">
      <c r="A931" s="2"/>
      <c r="B931" s="2"/>
      <c r="C931" s="2"/>
      <c r="D931" s="2"/>
      <c r="E931" s="2"/>
      <c r="F931" s="2"/>
    </row>
    <row r="932" spans="1:6" ht="15.75" customHeight="1">
      <c r="A932" s="2"/>
      <c r="B932" s="2"/>
      <c r="C932" s="2"/>
      <c r="D932" s="2"/>
      <c r="E932" s="2"/>
      <c r="F932" s="2"/>
    </row>
    <row r="933" spans="1:6" ht="15.75" customHeight="1">
      <c r="A933" s="2"/>
      <c r="B933" s="2"/>
      <c r="C933" s="2"/>
      <c r="D933" s="2"/>
      <c r="E933" s="2"/>
      <c r="F933" s="2"/>
    </row>
    <row r="934" spans="1:6" ht="15.75" customHeight="1">
      <c r="A934" s="2"/>
      <c r="B934" s="2"/>
      <c r="C934" s="2"/>
      <c r="D934" s="2"/>
      <c r="E934" s="2"/>
      <c r="F934" s="2"/>
    </row>
    <row r="935" spans="1:6" ht="15.75" customHeight="1">
      <c r="A935" s="2"/>
      <c r="B935" s="2"/>
      <c r="C935" s="2"/>
      <c r="D935" s="2"/>
      <c r="E935" s="2"/>
      <c r="F935" s="2"/>
    </row>
    <row r="936" spans="1:6" ht="15.75" customHeight="1">
      <c r="A936" s="2"/>
      <c r="B936" s="2"/>
      <c r="C936" s="2"/>
      <c r="D936" s="2"/>
      <c r="E936" s="2"/>
      <c r="F936" s="2"/>
    </row>
    <row r="937" spans="1:6" ht="15.75" customHeight="1">
      <c r="A937" s="2"/>
      <c r="B937" s="2"/>
      <c r="C937" s="2"/>
      <c r="D937" s="2"/>
      <c r="E937" s="2"/>
      <c r="F937" s="2"/>
    </row>
    <row r="938" spans="1:6" ht="15.75" customHeight="1">
      <c r="A938" s="2"/>
      <c r="B938" s="2"/>
      <c r="C938" s="2"/>
      <c r="D938" s="2"/>
      <c r="E938" s="2"/>
      <c r="F938" s="2"/>
    </row>
    <row r="939" spans="1:6" ht="15.75" customHeight="1">
      <c r="A939" s="2"/>
      <c r="B939" s="2"/>
      <c r="C939" s="2"/>
      <c r="D939" s="2"/>
      <c r="E939" s="2"/>
      <c r="F939" s="2"/>
    </row>
    <row r="940" spans="1:6" ht="15.75" customHeight="1">
      <c r="A940" s="2"/>
      <c r="B940" s="2"/>
      <c r="C940" s="2"/>
      <c r="D940" s="2"/>
      <c r="E940" s="2"/>
      <c r="F940" s="2"/>
    </row>
    <row r="941" spans="1:6" ht="15.75" customHeight="1">
      <c r="A941" s="2"/>
      <c r="B941" s="2"/>
      <c r="C941" s="2"/>
      <c r="D941" s="2"/>
      <c r="E941" s="2"/>
      <c r="F941" s="2"/>
    </row>
    <row r="942" spans="1:6" ht="15.75" customHeight="1">
      <c r="A942" s="2"/>
      <c r="B942" s="2"/>
      <c r="C942" s="2"/>
      <c r="D942" s="2"/>
      <c r="E942" s="2"/>
      <c r="F942" s="2"/>
    </row>
    <row r="943" spans="1:6" ht="15.75" customHeight="1">
      <c r="A943" s="2"/>
      <c r="B943" s="2"/>
      <c r="C943" s="2"/>
      <c r="D943" s="2"/>
      <c r="E943" s="2"/>
      <c r="F943" s="2"/>
    </row>
    <row r="944" spans="1:6" ht="15.75" customHeight="1">
      <c r="A944" s="2"/>
      <c r="B944" s="2"/>
      <c r="C944" s="2"/>
      <c r="D944" s="2"/>
      <c r="E944" s="2"/>
      <c r="F944" s="2"/>
    </row>
    <row r="945" spans="1:6" ht="15.75" customHeight="1">
      <c r="A945" s="2"/>
      <c r="B945" s="2"/>
      <c r="C945" s="2"/>
      <c r="D945" s="2"/>
      <c r="E945" s="2"/>
      <c r="F945" s="2"/>
    </row>
    <row r="946" spans="1:6" ht="15.75" customHeight="1">
      <c r="A946" s="2"/>
      <c r="B946" s="2"/>
      <c r="C946" s="2"/>
      <c r="D946" s="2"/>
      <c r="E946" s="2"/>
      <c r="F946" s="2"/>
    </row>
    <row r="947" spans="1:6" ht="15.75" customHeight="1">
      <c r="A947" s="2"/>
      <c r="B947" s="2"/>
      <c r="C947" s="2"/>
      <c r="D947" s="2"/>
      <c r="E947" s="2"/>
      <c r="F947" s="2"/>
    </row>
    <row r="948" spans="1:6" ht="15.75" customHeight="1">
      <c r="A948" s="2"/>
      <c r="B948" s="2"/>
      <c r="C948" s="2"/>
      <c r="D948" s="2"/>
      <c r="E948" s="2"/>
      <c r="F948" s="2"/>
    </row>
    <row r="949" spans="1:6" ht="15.75" customHeight="1">
      <c r="A949" s="2"/>
      <c r="B949" s="2"/>
      <c r="C949" s="2"/>
      <c r="D949" s="2"/>
      <c r="E949" s="2"/>
      <c r="F949" s="2"/>
    </row>
    <row r="950" spans="1:6" ht="15.75" customHeight="1">
      <c r="A950" s="2"/>
      <c r="B950" s="2"/>
      <c r="C950" s="2"/>
      <c r="D950" s="2"/>
      <c r="E950" s="2"/>
      <c r="F950" s="2"/>
    </row>
    <row r="951" spans="1:6" ht="15.75" customHeight="1">
      <c r="A951" s="2"/>
      <c r="B951" s="2"/>
      <c r="C951" s="2"/>
      <c r="D951" s="2"/>
      <c r="E951" s="2"/>
      <c r="F951" s="2"/>
    </row>
    <row r="952" spans="1:6" ht="15.75" customHeight="1">
      <c r="A952" s="2"/>
      <c r="B952" s="2"/>
      <c r="C952" s="2"/>
      <c r="D952" s="2"/>
      <c r="E952" s="2"/>
      <c r="F952" s="2"/>
    </row>
    <row r="953" spans="1:6" ht="15.75" customHeight="1">
      <c r="A953" s="2"/>
      <c r="B953" s="2"/>
      <c r="C953" s="2"/>
      <c r="D953" s="2"/>
      <c r="E953" s="2"/>
      <c r="F953" s="2"/>
    </row>
    <row r="954" spans="1:6" ht="15.75" customHeight="1">
      <c r="A954" s="2"/>
      <c r="B954" s="2"/>
      <c r="C954" s="2"/>
      <c r="D954" s="2"/>
      <c r="E954" s="2"/>
      <c r="F954" s="2"/>
    </row>
    <row r="955" spans="1:6" ht="15.75" customHeight="1">
      <c r="A955" s="2"/>
      <c r="B955" s="2"/>
      <c r="C955" s="2"/>
      <c r="D955" s="2"/>
      <c r="E955" s="2"/>
      <c r="F955" s="2"/>
    </row>
    <row r="956" spans="1:6" ht="15.75" customHeight="1">
      <c r="A956" s="2"/>
      <c r="B956" s="2"/>
      <c r="C956" s="2"/>
      <c r="D956" s="2"/>
      <c r="E956" s="2"/>
      <c r="F956" s="2"/>
    </row>
    <row r="957" spans="1:6" ht="15.75" customHeight="1">
      <c r="A957" s="2"/>
      <c r="B957" s="2"/>
      <c r="C957" s="2"/>
      <c r="D957" s="2"/>
      <c r="E957" s="2"/>
      <c r="F957" s="2"/>
    </row>
    <row r="958" spans="1:6" ht="15.75" customHeight="1">
      <c r="A958" s="2"/>
      <c r="B958" s="2"/>
      <c r="C958" s="2"/>
      <c r="D958" s="2"/>
      <c r="E958" s="2"/>
      <c r="F958" s="2"/>
    </row>
    <row r="959" spans="1:6" ht="15.75" customHeight="1">
      <c r="A959" s="2"/>
      <c r="B959" s="2"/>
      <c r="C959" s="2"/>
      <c r="D959" s="2"/>
      <c r="E959" s="2"/>
      <c r="F959" s="2"/>
    </row>
    <row r="960" spans="1:6" ht="15.75" customHeight="1">
      <c r="A960" s="2"/>
      <c r="B960" s="2"/>
      <c r="C960" s="2"/>
      <c r="D960" s="2"/>
      <c r="E960" s="2"/>
      <c r="F960" s="2"/>
    </row>
    <row r="961" spans="1:6" ht="15.75" customHeight="1">
      <c r="A961" s="2"/>
      <c r="B961" s="2"/>
      <c r="C961" s="2"/>
      <c r="D961" s="2"/>
      <c r="E961" s="2"/>
      <c r="F961" s="2"/>
    </row>
    <row r="962" spans="1:6" ht="15.75" customHeight="1">
      <c r="A962" s="2"/>
      <c r="B962" s="2"/>
      <c r="C962" s="2"/>
      <c r="D962" s="2"/>
      <c r="E962" s="2"/>
      <c r="F962" s="2"/>
    </row>
    <row r="963" spans="1:6" ht="15.75" customHeight="1">
      <c r="A963" s="2"/>
      <c r="B963" s="2"/>
      <c r="C963" s="2"/>
      <c r="D963" s="2"/>
      <c r="E963" s="2"/>
      <c r="F963" s="2"/>
    </row>
    <row r="964" spans="1:6" ht="15.75" customHeight="1">
      <c r="A964" s="2"/>
      <c r="B964" s="2"/>
      <c r="C964" s="2"/>
      <c r="D964" s="2"/>
      <c r="E964" s="2"/>
      <c r="F964" s="2"/>
    </row>
    <row r="965" spans="1:6" ht="15.75" customHeight="1">
      <c r="A965" s="2"/>
      <c r="B965" s="2"/>
      <c r="C965" s="2"/>
      <c r="D965" s="2"/>
      <c r="E965" s="2"/>
      <c r="F965" s="2"/>
    </row>
    <row r="966" spans="1:6" ht="15.75" customHeight="1">
      <c r="A966" s="2"/>
      <c r="B966" s="2"/>
      <c r="C966" s="2"/>
      <c r="D966" s="2"/>
      <c r="E966" s="2"/>
      <c r="F966" s="2"/>
    </row>
    <row r="967" spans="1:6" ht="15.75" customHeight="1">
      <c r="A967" s="2"/>
      <c r="B967" s="2"/>
      <c r="C967" s="2"/>
      <c r="D967" s="2"/>
      <c r="E967" s="2"/>
      <c r="F967" s="2"/>
    </row>
    <row r="968" spans="1:6" ht="15.75" customHeight="1">
      <c r="A968" s="2"/>
      <c r="B968" s="2"/>
      <c r="C968" s="2"/>
      <c r="D968" s="2"/>
      <c r="E968" s="2"/>
      <c r="F968" s="2"/>
    </row>
    <row r="969" spans="1:6" ht="15.75" customHeight="1">
      <c r="A969" s="2"/>
      <c r="B969" s="2"/>
      <c r="C969" s="2"/>
      <c r="D969" s="2"/>
      <c r="E969" s="2"/>
      <c r="F969" s="2"/>
    </row>
    <row r="970" spans="1:6" ht="15.75" customHeight="1">
      <c r="A970" s="2"/>
      <c r="B970" s="2"/>
      <c r="C970" s="2"/>
      <c r="D970" s="2"/>
      <c r="E970" s="2"/>
      <c r="F970" s="2"/>
    </row>
    <row r="971" spans="1:6" ht="15.75" customHeight="1">
      <c r="A971" s="2"/>
      <c r="B971" s="2"/>
      <c r="C971" s="2"/>
      <c r="D971" s="2"/>
      <c r="E971" s="2"/>
      <c r="F971" s="2"/>
    </row>
    <row r="972" spans="1:6" ht="15.75" customHeight="1">
      <c r="A972" s="2"/>
      <c r="B972" s="2"/>
      <c r="C972" s="2"/>
      <c r="D972" s="2"/>
      <c r="E972" s="2"/>
      <c r="F972" s="2"/>
    </row>
    <row r="973" spans="1:6" ht="15.75" customHeight="1">
      <c r="A973" s="2"/>
      <c r="B973" s="2"/>
      <c r="C973" s="2"/>
      <c r="D973" s="2"/>
      <c r="E973" s="2"/>
      <c r="F973" s="2"/>
    </row>
    <row r="974" spans="1:6" ht="15.75" customHeight="1">
      <c r="A974" s="2"/>
      <c r="B974" s="2"/>
      <c r="C974" s="2"/>
      <c r="D974" s="2"/>
      <c r="E974" s="2"/>
      <c r="F974" s="2"/>
    </row>
    <row r="975" spans="1:6" ht="15.75" customHeight="1">
      <c r="A975" s="2"/>
      <c r="B975" s="2"/>
      <c r="C975" s="2"/>
      <c r="D975" s="2"/>
      <c r="E975" s="2"/>
      <c r="F975" s="2"/>
    </row>
    <row r="976" spans="1:6" ht="15.75" customHeight="1">
      <c r="A976" s="2"/>
      <c r="B976" s="2"/>
      <c r="C976" s="2"/>
      <c r="D976" s="2"/>
      <c r="E976" s="2"/>
      <c r="F976" s="2"/>
    </row>
    <row r="977" spans="1:6" ht="15.75" customHeight="1">
      <c r="A977" s="2"/>
      <c r="B977" s="2"/>
      <c r="C977" s="2"/>
      <c r="D977" s="2"/>
      <c r="E977" s="2"/>
      <c r="F977" s="2"/>
    </row>
    <row r="978" spans="1:6" ht="15.75" customHeight="1">
      <c r="A978" s="2"/>
      <c r="B978" s="2"/>
      <c r="C978" s="2"/>
      <c r="D978" s="2"/>
      <c r="E978" s="2"/>
      <c r="F978" s="2"/>
    </row>
    <row r="979" spans="1:6" ht="15.75" customHeight="1">
      <c r="A979" s="2"/>
      <c r="B979" s="2"/>
      <c r="C979" s="2"/>
      <c r="D979" s="2"/>
      <c r="E979" s="2"/>
      <c r="F979" s="2"/>
    </row>
    <row r="980" spans="1:6" ht="15.75" customHeight="1">
      <c r="A980" s="2"/>
      <c r="B980" s="2"/>
      <c r="C980" s="2"/>
      <c r="D980" s="2"/>
      <c r="E980" s="2"/>
      <c r="F980" s="2"/>
    </row>
    <row r="981" spans="1:6" ht="15.75" customHeight="1">
      <c r="A981" s="2"/>
      <c r="B981" s="2"/>
      <c r="C981" s="2"/>
      <c r="D981" s="2"/>
      <c r="E981" s="2"/>
      <c r="F981" s="2"/>
    </row>
    <row r="982" spans="1:6" ht="15.75" customHeight="1">
      <c r="A982" s="2"/>
      <c r="B982" s="2"/>
      <c r="C982" s="2"/>
      <c r="D982" s="2"/>
      <c r="E982" s="2"/>
      <c r="F982" s="2"/>
    </row>
    <row r="983" spans="1:6" ht="15.75" customHeight="1">
      <c r="A983" s="2"/>
      <c r="B983" s="2"/>
      <c r="C983" s="2"/>
      <c r="D983" s="2"/>
      <c r="E983" s="2"/>
      <c r="F983" s="2"/>
    </row>
    <row r="984" spans="1:6" ht="15.75" customHeight="1">
      <c r="A984" s="2"/>
      <c r="B984" s="2"/>
      <c r="C984" s="2"/>
      <c r="D984" s="2"/>
      <c r="E984" s="2"/>
      <c r="F984" s="2"/>
    </row>
    <row r="985" spans="1:6" ht="15.75" customHeight="1">
      <c r="A985" s="2"/>
      <c r="B985" s="2"/>
      <c r="C985" s="2"/>
      <c r="D985" s="2"/>
      <c r="E985" s="2"/>
      <c r="F985" s="2"/>
    </row>
    <row r="986" spans="1:6" ht="15.75" customHeight="1">
      <c r="A986" s="2"/>
      <c r="B986" s="2"/>
      <c r="C986" s="2"/>
      <c r="D986" s="2"/>
      <c r="E986" s="2"/>
      <c r="F986" s="2"/>
    </row>
    <row r="987" spans="1:6" ht="15.75" customHeight="1">
      <c r="A987" s="2"/>
      <c r="B987" s="2"/>
      <c r="C987" s="2"/>
      <c r="D987" s="2"/>
      <c r="E987" s="2"/>
      <c r="F987" s="2"/>
    </row>
    <row r="988" spans="1:6" ht="15.75" customHeight="1">
      <c r="A988" s="2"/>
      <c r="B988" s="2"/>
      <c r="C988" s="2"/>
      <c r="D988" s="2"/>
      <c r="E988" s="2"/>
      <c r="F988" s="2"/>
    </row>
    <row r="989" spans="1:6" ht="15.75" customHeight="1">
      <c r="A989" s="2"/>
      <c r="B989" s="2"/>
      <c r="C989" s="2"/>
      <c r="D989" s="2"/>
      <c r="E989" s="2"/>
      <c r="F989" s="2"/>
    </row>
    <row r="990" spans="1:6" ht="15.75" customHeight="1">
      <c r="A990" s="2"/>
      <c r="B990" s="2"/>
      <c r="C990" s="2"/>
      <c r="D990" s="2"/>
      <c r="E990" s="2"/>
      <c r="F990" s="2"/>
    </row>
    <row r="991" spans="1:6" ht="15.75" customHeight="1">
      <c r="A991" s="2"/>
      <c r="B991" s="2"/>
      <c r="C991" s="2"/>
      <c r="D991" s="2"/>
      <c r="E991" s="2"/>
      <c r="F991" s="2"/>
    </row>
    <row r="992" spans="1:6" ht="15.75" customHeight="1">
      <c r="A992" s="2"/>
      <c r="B992" s="2"/>
      <c r="C992" s="2"/>
      <c r="D992" s="2"/>
      <c r="E992" s="2"/>
      <c r="F992" s="2"/>
    </row>
    <row r="993" spans="1:6" ht="15.75" customHeight="1">
      <c r="A993" s="2"/>
      <c r="B993" s="2"/>
      <c r="C993" s="2"/>
      <c r="D993" s="2"/>
      <c r="E993" s="2"/>
      <c r="F993" s="2"/>
    </row>
    <row r="994" spans="1:6" ht="15.75" customHeight="1">
      <c r="A994" s="2"/>
      <c r="B994" s="2"/>
      <c r="C994" s="2"/>
      <c r="D994" s="2"/>
      <c r="E994" s="2"/>
      <c r="F994" s="2"/>
    </row>
    <row r="995" spans="1:6" ht="15.75" customHeight="1">
      <c r="A995" s="2"/>
      <c r="B995" s="2"/>
      <c r="C995" s="2"/>
      <c r="D995" s="2"/>
      <c r="E995" s="2"/>
      <c r="F995" s="2"/>
    </row>
    <row r="996" spans="1:6" ht="15.75" customHeight="1">
      <c r="A996" s="2"/>
      <c r="B996" s="2"/>
      <c r="C996" s="2"/>
      <c r="D996" s="2"/>
      <c r="E996" s="2"/>
      <c r="F996" s="2"/>
    </row>
    <row r="997" spans="1:6" ht="15.75" customHeight="1">
      <c r="A997" s="2"/>
      <c r="B997" s="2"/>
      <c r="C997" s="2"/>
      <c r="D997" s="2"/>
      <c r="E997" s="2"/>
      <c r="F997" s="2"/>
    </row>
    <row r="998" spans="1:6" ht="15.75" customHeight="1">
      <c r="A998" s="2"/>
      <c r="B998" s="2"/>
      <c r="C998" s="2"/>
      <c r="D998" s="2"/>
      <c r="E998" s="2"/>
      <c r="F998" s="2"/>
    </row>
  </sheetData>
  <mergeCells count="9">
    <mergeCell ref="B29:E29"/>
    <mergeCell ref="B34:E34"/>
    <mergeCell ref="B1:E1"/>
    <mergeCell ref="B2:E2"/>
    <mergeCell ref="B3:E3"/>
    <mergeCell ref="B5:E5"/>
    <mergeCell ref="B11:E11"/>
    <mergeCell ref="B17:E17"/>
    <mergeCell ref="B23:E23"/>
  </mergeCells>
  <pageMargins left="0.7" right="0.7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Input</vt:lpstr>
      <vt:lpstr>IS Forecast</vt:lpstr>
      <vt:lpstr>BS &amp; CF Forecast</vt:lpstr>
      <vt:lpstr>DCF</vt:lpstr>
      <vt:lpstr>Dashboard</vt:lpstr>
      <vt:lpstr>One Page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2026-07-02T22:27:43Z</dcterms:modified>
</cp:coreProperties>
</file>